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c9d625568fff7c6c/Docs/MBA/Internship/Excel/Project hospital emerg room report/"/>
    </mc:Choice>
  </mc:AlternateContent>
  <xr:revisionPtr revIDLastSave="8" documentId="8_{D1E5969F-241D-464B-9F95-91C002E731D6}" xr6:coauthVersionLast="47" xr6:coauthVersionMax="47" xr10:uidLastSave="{2702B53D-3822-4A49-B0DC-66B377BA20FA}"/>
  <bookViews>
    <workbookView xWindow="-108" yWindow="-108" windowWidth="23256" windowHeight="12456" activeTab="1" xr2:uid="{4F2BCD55-7BCB-44EE-B8DC-C39006E95B88}"/>
  </bookViews>
  <sheets>
    <sheet name="Pivot report" sheetId="1" r:id="rId1"/>
    <sheet name="Dashboard" sheetId="2" r:id="rId2"/>
    <sheet name="Avg. Satisfaction score" sheetId="5" r:id="rId3"/>
    <sheet name="Avg. Wait Time" sheetId="4" r:id="rId4"/>
    <sheet name="Daily Patient Visits" sheetId="3"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d00376eb-84b0-4eab-b3e7-383df6fa09f9" name="Hospital Emergency Room Data" connection="Query - Hospital Emergency Room Data"/>
          <x15:modelTable id="Calendar table_982d3e9a-2f3d-40a5-98e2-71715e3d4e4f" name="Calendar table" connection="Query - Calendar table"/>
        </x15:modelTables>
        <x15:modelRelationships>
          <x15:modelRelationship fromTable="Hospital Emergency Room Data" fromColumn="Patient Admission Date" toTable="Calendar table" toColumn="Date"/>
        </x15:modelRelationships>
        <x15:extLst>
          <ext xmlns:x16="http://schemas.microsoft.com/office/spreadsheetml/2014/11/main" uri="{9835A34E-60A6-4A7C-AAB8-D5F71C897F49}">
            <x16:modelTimeGroupings>
              <x16:modelTimeGrouping tableName="Calendar 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Lst>
</workbook>
</file>

<file path=xl/calcChain.xml><?xml version="1.0" encoding="utf-8"?>
<calcChain xmlns="http://schemas.openxmlformats.org/spreadsheetml/2006/main">
  <c r="C48" i="1" l="1"/>
  <c r="C49" i="1"/>
  <c r="B48" i="1"/>
  <c r="B49" i="1"/>
  <c r="A48" i="1"/>
  <c r="A4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E69D6BB-0242-4236-A004-BDB165F761A8}" name="Query - Calendar table" description="Connection to the 'Calendar table' query in the workbook." type="100" refreshedVersion="8" minRefreshableVersion="5">
    <extLst>
      <ext xmlns:x15="http://schemas.microsoft.com/office/spreadsheetml/2010/11/main" uri="{DE250136-89BD-433C-8126-D09CA5730AF9}">
        <x15:connection id="cdc80c4a-80f1-4e99-8785-756303cce358"/>
      </ext>
    </extLst>
  </connection>
  <connection id="2" xr16:uid="{4BE2093E-CF63-4030-AEC1-84623B7F1CBF}"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dc3839a1-1f43-4534-91ed-11f06b2f3f3c"/>
      </ext>
    </extLst>
  </connection>
  <connection id="3" xr16:uid="{5B94DC20-685D-402D-BFA1-9B7F9FA98CD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<sst xmlns="http://schemas.openxmlformats.org/spreadsheetml/2006/main" count="1161" uniqueCount="413">
  <si>
    <t>Row Labels</t>
  </si>
  <si>
    <t>0-9</t>
  </si>
  <si>
    <t>10-19</t>
  </si>
  <si>
    <t>20-29</t>
  </si>
  <si>
    <t>30-39</t>
  </si>
  <si>
    <t>40-49</t>
  </si>
  <si>
    <t>50-59</t>
  </si>
  <si>
    <t>60-69</t>
  </si>
  <si>
    <t>70-79</t>
  </si>
  <si>
    <t>Grand Total</t>
  </si>
  <si>
    <t>Delayed</t>
  </si>
  <si>
    <t>On-time</t>
  </si>
  <si>
    <t>Count of Patient Id</t>
  </si>
  <si>
    <t>Distinct Count of Patient Id</t>
  </si>
  <si>
    <t>Number of Patients</t>
  </si>
  <si>
    <t>Average of Patient Waittime</t>
  </si>
  <si>
    <t>Average of Patient Satisfaction Score</t>
  </si>
  <si>
    <t>2023</t>
  </si>
  <si>
    <t>2024</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</si>
  <si>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</si>
  <si>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</si>
  <si>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</si>
  <si>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</si>
  <si>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</si>
  <si>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</si>
  <si>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</si>
  <si>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</si>
  <si>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</si>
  <si>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</si>
  <si>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</si>
  <si>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</si>
  <si>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</si>
  <si>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</si>
  <si>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</si>
  <si>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</si>
  <si>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</si>
  <si>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</si>
  <si>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</si>
  <si>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</si>
  <si>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</si>
  <si>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</si>
  <si>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</si>
  <si>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</si>
  <si>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</si>
  <si>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</si>
  <si>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</si>
  <si>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</si>
  <si>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</si>
  <si>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</si>
  <si>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</si>
  <si>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</si>
  <si>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</si>
  <si>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</si>
  <si>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</si>
  <si>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</si>
  <si>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</si>
  <si>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</si>
  <si>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</si>
  <si>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</si>
  <si>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</si>
  <si>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</si>
  <si>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</si>
  <si>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</si>
  <si>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</si>
  <si>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</si>
  <si>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</si>
  <si>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</si>
  <si>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</si>
  <si>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</si>
  <si>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</si>
  <si>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</si>
  <si>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</si>
  <si>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</si>
  <si>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</si>
  <si>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</si>
  <si>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</si>
  <si>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</si>
  <si>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</si>
  <si>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29-Feb</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</si>
  <si>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</si>
  <si>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</si>
  <si>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</si>
  <si>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</si>
  <si>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</si>
  <si>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</si>
  <si>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</si>
  <si>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</si>
  <si>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</si>
  <si>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</si>
  <si>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</si>
  <si>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</si>
  <si>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</si>
  <si>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</si>
  <si>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</si>
  <si>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</si>
  <si>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</si>
  <si>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</si>
  <si>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</si>
  <si>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</si>
  <si>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</si>
  <si>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</si>
  <si>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</si>
  <si>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</si>
  <si>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</si>
  <si>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</si>
  <si>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</si>
  <si>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</si>
  <si>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</si>
  <si>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</si>
  <si>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</si>
  <si>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</si>
  <si>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</si>
  <si>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</si>
  <si>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</si>
  <si>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</si>
  <si>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</si>
  <si>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</si>
  <si>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</si>
  <si>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</si>
  <si>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</si>
  <si>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</si>
  <si>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</si>
  <si>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</si>
  <si>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</si>
  <si>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</si>
  <si>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</si>
  <si>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</si>
  <si>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</si>
  <si>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</si>
  <si>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</si>
  <si>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</si>
  <si>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</si>
  <si>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</si>
  <si>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</si>
  <si>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</si>
  <si>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</si>
  <si>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</si>
  <si>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</si>
  <si>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</si>
  <si>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</si>
  <si>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</si>
  <si>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</si>
  <si>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</si>
  <si>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</si>
  <si>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</si>
  <si>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</si>
  <si>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</si>
  <si>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</si>
  <si>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</si>
  <si>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</si>
  <si>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</si>
  <si>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</si>
  <si>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</si>
  <si>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</si>
  <si>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</si>
  <si>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</si>
  <si>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</si>
  <si>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</si>
  <si>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</si>
  <si>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</si>
  <si>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</si>
  <si>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</si>
  <si>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</si>
  <si>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</si>
  <si>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</si>
  <si>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</si>
  <si>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</si>
  <si>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</si>
  <si>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</si>
  <si>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</si>
  <si>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</si>
  <si>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</si>
  <si>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</si>
  <si>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</si>
  <si>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</si>
  <si>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</si>
  <si>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</si>
  <si>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</si>
  <si>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</si>
  <si>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</si>
  <si>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</si>
  <si>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</si>
  <si>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</si>
  <si>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</si>
  <si>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</si>
  <si>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</si>
  <si>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</si>
  <si>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</si>
  <si>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</si>
  <si>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</si>
  <si>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</si>
  <si>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</si>
  <si>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</si>
  <si>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</si>
  <si>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</si>
  <si>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</si>
  <si>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</si>
  <si>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</si>
  <si>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</si>
  <si>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</si>
  <si>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</si>
  <si>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</si>
  <si>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</si>
  <si>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</si>
  <si>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</si>
  <si>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</si>
  <si>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</si>
  <si>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</si>
  <si>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</si>
  <si>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</si>
  <si>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</si>
  <si>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</si>
  <si>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</si>
  <si>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</si>
  <si>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</si>
  <si>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</si>
  <si>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</si>
  <si>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</si>
  <si>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</si>
  <si>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</si>
  <si>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</si>
  <si>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</si>
  <si>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</si>
  <si>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</si>
  <si>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</si>
  <si>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</si>
  <si>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</si>
  <si>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</si>
  <si>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</si>
  <si>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</si>
  <si>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</si>
  <si>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</si>
  <si>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</si>
  <si>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</si>
  <si>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</si>
  <si>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</si>
  <si>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</si>
  <si>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</si>
  <si>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</si>
  <si>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</si>
  <si>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</si>
  <si>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</si>
  <si>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</si>
  <si>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</si>
  <si>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</si>
  <si>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</si>
  <si>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</si>
  <si>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</si>
  <si>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</si>
  <si>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</si>
  <si>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</si>
  <si>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</si>
  <si>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</si>
  <si>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</si>
  <si>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</si>
  <si>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</si>
  <si>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</si>
  <si>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</si>
  <si>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</si>
  <si>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</si>
  <si>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</si>
  <si>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</si>
  <si>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</si>
  <si>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1-Sep</t>
  </si>
  <si>
    <t>2-Sep</t>
  </si>
  <si>
    <t>3-Sep</t>
  </si>
  <si>
    <t>4-Sep</t>
  </si>
  <si>
    <t>5-Sep</t>
  </si>
  <si>
    <t>6-Sep</t>
  </si>
  <si>
    <t>7-Sep</t>
  </si>
  <si>
    <t>8-Sep</t>
  </si>
  <si>
    <t>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</si>
  <si>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</si>
  <si>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</si>
  <si>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</si>
  <si>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</si>
  <si>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</si>
  <si>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</si>
  <si>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</si>
  <si>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</si>
  <si>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</si>
  <si>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</si>
  <si>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</si>
  <si>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</si>
  <si>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</si>
  <si>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</si>
  <si>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</si>
  <si>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</si>
  <si>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</si>
  <si>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</si>
  <si>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</si>
  <si>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</si>
  <si>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</si>
  <si>
    <t>1-Oct</t>
  </si>
  <si>
    <t>2-Oct</t>
  </si>
  <si>
    <t>3-Oct</t>
  </si>
  <si>
    <t>4-Oct</t>
  </si>
  <si>
    <t>5-Oct</t>
  </si>
  <si>
    <t>6-Oct</t>
  </si>
  <si>
    <t>7-Oct</t>
  </si>
  <si>
    <t>8-Oct</t>
  </si>
  <si>
    <t>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</si>
  <si>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</si>
  <si>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</si>
  <si>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</si>
  <si>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</si>
  <si>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</si>
  <si>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</si>
  <si>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</si>
  <si>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</si>
  <si>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</si>
  <si>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</si>
  <si>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</si>
  <si>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</si>
  <si>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</si>
  <si>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</si>
  <si>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</si>
  <si>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</si>
  <si>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</si>
  <si>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</si>
  <si>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</si>
  <si>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</si>
  <si>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</si>
  <si>
    <t>31-Oct</t>
  </si>
  <si>
    <t>1-Nov</t>
  </si>
  <si>
    <t>2-Nov</t>
  </si>
  <si>
    <t>3-Nov</t>
  </si>
  <si>
    <t>4-Nov</t>
  </si>
  <si>
    <t>5-Nov</t>
  </si>
  <si>
    <t>6-Nov</t>
  </si>
  <si>
    <t>7-Nov</t>
  </si>
  <si>
    <t>8-Nov</t>
  </si>
  <si>
    <t>9-Nov</t>
  </si>
  <si>
    <t>10-Nov</t>
  </si>
  <si>
    <t>11-Nov</t>
  </si>
  <si>
    <t>12-Nov</t>
  </si>
  <si>
    <t>13-Nov</t>
  </si>
  <si>
    <t>14-Nov</t>
  </si>
  <si>
    <t>15-Nov</t>
  </si>
  <si>
    <t>16-Nov</t>
  </si>
  <si>
    <t>17-Nov</t>
  </si>
  <si>
    <t>18-Nov</t>
  </si>
  <si>
    <t>19-Nov</t>
  </si>
  <si>
    <t>20-Nov</t>
  </si>
  <si>
    <t>21-Nov</t>
  </si>
  <si>
    <t>22-Nov</t>
  </si>
  <si>
    <t>23-Nov</t>
  </si>
  <si>
    <t>24-Nov</t>
  </si>
  <si>
    <t>25-Nov</t>
  </si>
  <si>
    <t>26-Nov</t>
  </si>
  <si>
    <t>27-Nov</t>
  </si>
  <si>
    <t>28-Nov</t>
  </si>
  <si>
    <t>29-Nov</t>
  </si>
  <si>
    <t>30-Nov</t>
  </si>
  <si>
    <t>1-Dec</t>
  </si>
  <si>
    <t>2-Dec</t>
  </si>
  <si>
    <t>3-Dec</t>
  </si>
  <si>
    <t>4-Dec</t>
  </si>
  <si>
    <t>5-Dec</t>
  </si>
  <si>
    <t>6-Dec</t>
  </si>
  <si>
    <t>7-Dec</t>
  </si>
  <si>
    <t>8-Dec</t>
  </si>
  <si>
    <t>9-Dec</t>
  </si>
  <si>
    <t>10-Dec</t>
  </si>
  <si>
    <t>11-Dec</t>
  </si>
  <si>
    <t>12-Dec</t>
  </si>
  <si>
    <t>13-Dec</t>
  </si>
  <si>
    <t>14-Dec</t>
  </si>
  <si>
    <t>15-Dec</t>
  </si>
  <si>
    <t>16-Dec</t>
  </si>
  <si>
    <t>17-Dec</t>
  </si>
  <si>
    <t>18-Dec</t>
  </si>
  <si>
    <t>19-Dec</t>
  </si>
  <si>
    <t>20-Dec</t>
  </si>
  <si>
    <t>21-Dec</t>
  </si>
  <si>
    <t>22-Dec</t>
  </si>
  <si>
    <t>23-Dec</t>
  </si>
  <si>
    <t>24-Dec</t>
  </si>
  <si>
    <t>25-Dec</t>
  </si>
  <si>
    <t>26-Dec</t>
  </si>
  <si>
    <t>27-Dec</t>
  </si>
  <si>
    <t>28-Dec</t>
  </si>
  <si>
    <t>29-Dec</t>
  </si>
  <si>
    <t>30-Dec</t>
  </si>
  <si>
    <t>31-Dec</t>
  </si>
  <si>
    <t>avg wait time</t>
  </si>
  <si>
    <t>patient satisfaction score</t>
  </si>
  <si>
    <t>Count of Patient Admission Flag</t>
  </si>
  <si>
    <t>Admitted</t>
  </si>
  <si>
    <t>Not admitted</t>
  </si>
  <si>
    <t>Count of Patient Admission Flag2</t>
  </si>
  <si>
    <t>Admission status</t>
  </si>
  <si>
    <t>No. of patients</t>
  </si>
  <si>
    <t>Percentage status</t>
  </si>
  <si>
    <t>Count of Age Group</t>
  </si>
  <si>
    <t>Male</t>
  </si>
  <si>
    <t>Female</t>
  </si>
  <si>
    <t>General Practice</t>
  </si>
  <si>
    <t>Orthopedics</t>
  </si>
  <si>
    <t>Physiotherapy</t>
  </si>
  <si>
    <t>Cardiology</t>
  </si>
  <si>
    <t>Neurology</t>
  </si>
  <si>
    <t>Count of Patient Gender</t>
  </si>
  <si>
    <t>Gastroenterology</t>
  </si>
  <si>
    <t>Renal</t>
  </si>
  <si>
    <t>Count of Department Referral</t>
  </si>
  <si>
    <t>No Referrals</t>
  </si>
  <si>
    <t xml:space="preserve">daily patients visits </t>
  </si>
  <si>
    <t>wait time status</t>
  </si>
  <si>
    <t>admission status</t>
  </si>
  <si>
    <t>patients by age group</t>
  </si>
  <si>
    <t>patients by gender</t>
  </si>
  <si>
    <t>department referrals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</si>
</sst>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0"/>
      <name val="Calibri"/>
      <family val="2"/>
      <scheme val="minor"/>
    </font>
    <font>
      <sz val="11"/>
      <color theme="1" tint="0.14999847407452621"/>
      <name val="Calibri"/>
      <family val="2"/>
      <scheme val="minor"/>
    </font>
  </fonts>
  <fills count="5">
    <fill>
      <patternFill patternType="none"/>
    </fill>
    <fill>
      <patternFill patternType="gray125"/>
    </fill>
    <fill>
      <patternFill patternType="solid">
        <fgColor theme="1" tint="0.499984740745262"/>
        <bgColor indexed="64"/>
      </patternFill>
    </fill>
    <fill>
      <patternFill patternType="solid">
        <fgColor theme="4" tint="-0.249977111117893"/>
        <bgColor indexed="64"/>
      </patternFill>
    </fill>
    <fill>
      <patternFill patternType="solid">
        <fgColor theme="2"/>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pivotButton="1"/>
    <xf numFmtId="0" fontId="0" fillId="0" borderId="0" xfId="0" applyAlignment="1">
      <alignment horizontal="left"/>
    </xf>
    <xf numFmtId="2" fontId="0" fillId="0" borderId="0" xfId="0" applyNumberFormat="1"/>
    <xf numFmtId="0" fontId="0" fillId="2" borderId="0" xfId="0" applyFill="1"/>
    <xf numFmtId="1" fontId="0" fillId="0" borderId="0" xfId="0" applyNumberFormat="1"/>
    <xf numFmtId="10" fontId="0" fillId="0" borderId="0" xfId="0" applyNumberFormat="1"/>
    <xf numFmtId="0" fontId="0" fillId="3" borderId="0" xfId="0" applyFill="1"/>
    <xf numFmtId="0" fontId="1" fillId="0" borderId="0" xfId="0" applyFont="1"/>
    <xf numFmtId="0" fontId="1" fillId="3" borderId="0" xfId="0" applyFont="1" applyFill="1"/>
    <xf numFmtId="0" fontId="0" fillId="4" borderId="0" xfId="0" applyFill="1"/>
    <xf numFmtId="0" fontId="2" fillId="4" borderId="0" xfId="0" applyFont="1" applyFill="1"/>
    <xf numFmtId="1" fontId="2" fillId="4" borderId="0" xfId="0" applyNumberFormat="1" applyFont="1" applyFill="1"/>
    <xf numFmtId="10" fontId="2" fillId="4" borderId="0" xfId="0" applyNumberFormat="1" applyFont="1" applyFill="1"/>
    <xf numFmtId="0" fontId="0" fillId="0" borderId="0" xfId="0" applyAlignment="1">
      <alignment horizontal="left"/>
    </xf>
  </cellXfs>
  <cellStyles count="1">
    <cellStyle name="Normal" xfId="0" builtinId="0"/>
  </cellStyles>
  <dxfs count="26">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fill>
        <patternFill patternType="solid">
          <bgColor theme="2"/>
        </patternFill>
      </fill>
      <border diagonalUp="0" diagonalDown="0">
        <left/>
        <right/>
        <top/>
        <bottom/>
        <vertical/>
        <horizontal/>
      </border>
    </dxf>
  </dxfs>
  <tableStyles count="1" defaultTableStyle="TableStyleMedium2" defaultPivotStyle="PivotStyleLight16">
    <tableStyle name="my style" pivot="0" table="0" count="2" xr9:uid="{CE3A465A-859A-4D28-92E7-93703B6F2CA8}">
      <tableStyleElement type="wholeTable" dxfId="25"/>
    </tableStyle>
  </tableStyles>
  <extLst>
    <ext xmlns:x14="http://schemas.microsoft.com/office/spreadsheetml/2009/9/main" uri="{46F421CA-312F-682f-3DD2-61675219B42D}">
      <x14:dxfs count="1">
        <dxf>
          <fill>
            <patternFill>
              <bgColor theme="5"/>
            </patternFill>
          </fill>
        </dxf>
      </x14:dxfs>
    </ext>
    <ext xmlns:x14="http://schemas.microsoft.com/office/spreadsheetml/2009/9/main" uri="{EB79DEF2-80B8-43e5-95BD-54CBDDF9020C}">
      <x14:slicerStyles defaultSlicerStyle="SlicerStyleLight1">
        <x14:slicerStyle name="my style">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[Hospital_Emergency_Room_Analysis.xlsx.xlsx]Pivot report!PivotTable7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fld id="{9AB84B31-3ABE-40CD-A40B-4B22E7365DAA}" type="CELLRANGE">
                  <a:rPr lang="en-US"/>
                  <a:pPr>
                    <a:defRPr>
                      <a:solidFill>
                        <a:schemeClr val="tx1">
                          <a:lumMod val="85000"/>
                          <a:lumOff val="15000"/>
                        </a:schemeClr>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7"/>
        <c:spPr>
          <a:solidFill>
            <a:schemeClr val="accent1">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fld id="{06B64E3F-6072-4D2A-9019-44ADCF306D6C}" type="CELLRANGE">
                  <a:rPr lang="en-IN"/>
                  <a:pPr>
                    <a:defRPr>
                      <a:solidFill>
                        <a:schemeClr val="tx1">
                          <a:lumMod val="85000"/>
                          <a:lumOff val="15000"/>
                        </a:schemeClr>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6.296658387500223E-2"/>
          <c:y val="2.1645669291338581E-2"/>
          <c:w val="0.62394345443661647"/>
          <c:h val="0.97835497835497831"/>
        </c:manualLayout>
      </c:layout>
      <c:barChart>
        <c:barDir val="bar"/>
        <c:grouping val="clustered"/>
        <c:varyColors val="0"/>
        <c:ser>
          <c:idx val="0"/>
          <c:order val="0"/>
          <c:tx>
            <c:strRef>
              <c:f>'Pivot report'!$C$41:$C$42</c:f>
              <c:strCache>
                <c:ptCount val="1"/>
                <c:pt idx="0">
                  <c:v>Count of Patient Admission Flag</c:v>
                </c:pt>
              </c:strCache>
            </c:strRef>
          </c:tx>
          <c:spPr>
            <a:solidFill>
              <a:schemeClr val="accent1">
                <a:lumMod val="75000"/>
              </a:schemeClr>
            </a:solidFill>
            <a:ln>
              <a:noFill/>
            </a:ln>
            <a:effectLst/>
          </c:spPr>
          <c:invertIfNegative val="0"/>
          <c:dPt>
            <c:idx val="0"/>
            <c:invertIfNegative val="0"/>
            <c:bubble3D val="0"/>
            <c:extLst>
              <c:ext xmlns:c16="http://schemas.microsoft.com/office/drawing/2014/chart" uri="{C3380CC4-5D6E-409C-BE32-E72D297353CC}">
                <c16:uniqueId val="{00000002-D86D-4EB9-8488-B7E07BF250A7}"/>
              </c:ext>
            </c:extLst>
          </c:dPt>
          <c:dPt>
            <c:idx val="1"/>
            <c:invertIfNegative val="0"/>
            <c:bubble3D val="0"/>
            <c:extLst>
              <c:ext xmlns:c16="http://schemas.microsoft.com/office/drawing/2014/chart" uri="{C3380CC4-5D6E-409C-BE32-E72D297353CC}">
                <c16:uniqueId val="{00000003-D86D-4EB9-8488-B7E07BF250A7}"/>
              </c:ext>
            </c:extLst>
          </c:dPt>
          <c:dLbls>
            <c:dLbl>
              <c:idx val="0"/>
              <c:tx>
                <c:rich>
                  <a:bodyPr/>
                  <a:lstStyle/>
                  <a:p>
                    <a:fld id="{9AB84B31-3ABE-40CD-A40B-4B22E7365DAA}"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D86D-4EB9-8488-B7E07BF250A7}"/>
                </c:ext>
              </c:extLst>
            </c:dLbl>
            <c:dLbl>
              <c:idx val="1"/>
              <c:tx>
                <c:rich>
                  <a:bodyPr/>
                  <a:lstStyle/>
                  <a:p>
                    <a:fld id="{06B64E3F-6072-4D2A-9019-44ADCF306D6C}"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D86D-4EB9-8488-B7E07BF250A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report'!$C$41:$C$42</c:f>
              <c:strCache>
                <c:ptCount val="2"/>
                <c:pt idx="0">
                  <c:v>Admitted</c:v>
                </c:pt>
                <c:pt idx="1">
                  <c:v>Not admitted</c:v>
                </c:pt>
              </c:strCache>
            </c:strRef>
          </c:cat>
          <c:val>
            <c:numRef>
              <c:f>'Pivot report'!$C$41:$C$42</c:f>
              <c:numCache>
                <c:formatCode>0</c:formatCode>
                <c:ptCount val="2"/>
                <c:pt idx="0">
                  <c:v>4612</c:v>
                </c:pt>
                <c:pt idx="1">
                  <c:v>4604</c:v>
                </c:pt>
              </c:numCache>
            </c:numRef>
          </c:val>
          <c:extLst>
            <c:ext xmlns:c15="http://schemas.microsoft.com/office/drawing/2012/chart" uri="{02D57815-91ED-43cb-92C2-25804820EDAC}">
              <c15:datalabelsRange>
                <c15:f>'Pivot report'!$C$41:$C$42</c15:f>
                <c15:dlblRangeCache>
                  <c:ptCount val="2"/>
                  <c:pt idx="0">
                    <c:v>50.04%</c:v>
                  </c:pt>
                  <c:pt idx="1">
                    <c:v>49.96%</c:v>
                  </c:pt>
                </c15:dlblRangeCache>
              </c15:datalabelsRange>
            </c:ext>
            <c:ext xmlns:c16="http://schemas.microsoft.com/office/drawing/2014/chart" uri="{C3380CC4-5D6E-409C-BE32-E72D297353CC}">
              <c16:uniqueId val="{00000000-D86D-4EB9-8488-B7E07BF250A7}"/>
            </c:ext>
          </c:extLst>
        </c:ser>
        <c:ser>
          <c:idx val="1"/>
          <c:order val="1"/>
          <c:tx>
            <c:strRef>
              <c:f>'Pivot report'!$C$41:$C$42</c:f>
              <c:strCache>
                <c:ptCount val="1"/>
                <c:pt idx="0">
                  <c:v>Count of Patient Admission Flag2</c:v>
                </c:pt>
              </c:strCache>
            </c:strRef>
          </c:tx>
          <c:spPr>
            <a:solidFill>
              <a:schemeClr val="accent2"/>
            </a:solidFill>
            <a:ln>
              <a:noFill/>
            </a:ln>
            <a:effectLst/>
          </c:spPr>
          <c:invertIfNegative val="0"/>
          <c:cat>
            <c:strRef>
              <c:f>'Pivot report'!$C$41:$C$42</c:f>
              <c:strCache>
                <c:ptCount val="2"/>
                <c:pt idx="0">
                  <c:v>Admitted</c:v>
                </c:pt>
                <c:pt idx="1">
                  <c:v>Not admitted</c:v>
                </c:pt>
              </c:strCache>
            </c:strRef>
          </c:cat>
          <c:val>
            <c:numRef>
              <c:f>'Pivot report'!$C$41:$C$42</c:f>
              <c:numCache>
                <c:formatCode>0.00%</c:formatCode>
                <c:ptCount val="2"/>
                <c:pt idx="0">
                  <c:v>0.50043402777777779</c:v>
                </c:pt>
                <c:pt idx="1">
                  <c:v>0.49956597222222221</c:v>
                </c:pt>
              </c:numCache>
            </c:numRef>
          </c:val>
          <c:extLst>
            <c:ext xmlns:c16="http://schemas.microsoft.com/office/drawing/2014/chart" uri="{C3380CC4-5D6E-409C-BE32-E72D297353CC}">
              <c16:uniqueId val="{00000001-D86D-4EB9-8488-B7E07BF250A7}"/>
            </c:ext>
          </c:extLst>
        </c:ser>
        <c:dLbls>
          <c:showLegendKey val="0"/>
          <c:showVal val="0"/>
          <c:showCatName val="0"/>
          <c:showSerName val="0"/>
          <c:showPercent val="0"/>
          <c:showBubbleSize val="0"/>
        </c:dLbls>
        <c:gapWidth val="30"/>
        <c:axId val="453322032"/>
        <c:axId val="453315312"/>
      </c:barChart>
      <c:catAx>
        <c:axId val="453322032"/>
        <c:scaling>
          <c:orientation val="minMax"/>
        </c:scaling>
        <c:delete val="1"/>
        <c:axPos val="l"/>
        <c:numFmt formatCode="General" sourceLinked="1"/>
        <c:majorTickMark val="none"/>
        <c:minorTickMark val="none"/>
        <c:tickLblPos val="nextTo"/>
        <c:crossAx val="453315312"/>
        <c:crosses val="autoZero"/>
        <c:auto val="1"/>
        <c:lblAlgn val="ctr"/>
        <c:lblOffset val="100"/>
        <c:noMultiLvlLbl val="0"/>
      </c:catAx>
      <c:valAx>
        <c:axId val="453315312"/>
        <c:scaling>
          <c:orientation val="minMax"/>
        </c:scaling>
        <c:delete val="1"/>
        <c:axPos val="b"/>
        <c:numFmt formatCode="0" sourceLinked="1"/>
        <c:majorTickMark val="none"/>
        <c:minorTickMark val="none"/>
        <c:tickLblPos val="nextTo"/>
        <c:crossAx val="453322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[Hospital_Emergency_Room_Analysis.xlsx.xlsx]Pivot report!PivotTable4</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943083386444929E-2"/>
          <c:y val="0"/>
          <c:w val="0.90241749538827765"/>
          <c:h val="1"/>
        </c:manualLayout>
      </c:layout>
      <c:areaChart>
        <c:grouping val="standard"/>
        <c:varyColors val="0"/>
        <c:ser>
          <c:idx val="0"/>
          <c:order val="0"/>
          <c:tx>
            <c:strRef>
              <c:f>'Pivot report'!$F$4</c:f>
              <c:strCache>
                <c:ptCount val="1"/>
                <c:pt idx="0">
                  <c:v>Total</c:v>
                </c:pt>
              </c:strCache>
            </c:strRef>
          </c:tx>
          <c:spPr>
            <a:solidFill>
              <a:schemeClr val="accent1"/>
            </a:solidFill>
            <a:ln>
              <a:noFill/>
            </a:ln>
            <a:effectLst/>
          </c:spPr>
          <c:cat>
            <c:strRef>
              <c:f>'Pivot report'!$E$5:$E$371</c:f>
              <c:strCache>
                <c:ptCount val="366"/>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pt idx="304">
                  <c:v>31-Oct</c:v>
                </c:pt>
                <c:pt idx="305">
                  <c:v>1-Nov</c:v>
                </c:pt>
                <c:pt idx="306">
                  <c:v>2-Nov</c:v>
                </c:pt>
                <c:pt idx="307">
                  <c:v>3-Nov</c:v>
                </c:pt>
                <c:pt idx="308">
                  <c:v>4-Nov</c:v>
                </c:pt>
                <c:pt idx="309">
                  <c:v>5-Nov</c:v>
                </c:pt>
                <c:pt idx="310">
                  <c:v>6-Nov</c:v>
                </c:pt>
                <c:pt idx="311">
                  <c:v>7-Nov</c:v>
                </c:pt>
                <c:pt idx="312">
                  <c:v>8-Nov</c:v>
                </c:pt>
                <c:pt idx="313">
                  <c:v>9-Nov</c:v>
                </c:pt>
                <c:pt idx="314">
                  <c:v>10-Nov</c:v>
                </c:pt>
                <c:pt idx="315">
                  <c:v>11-Nov</c:v>
                </c:pt>
                <c:pt idx="316">
                  <c:v>12-Nov</c:v>
                </c:pt>
                <c:pt idx="317">
                  <c:v>13-Nov</c:v>
                </c:pt>
                <c:pt idx="318">
                  <c:v>14-Nov</c:v>
                </c:pt>
                <c:pt idx="319">
                  <c:v>15-Nov</c:v>
                </c:pt>
                <c:pt idx="320">
                  <c:v>16-Nov</c:v>
                </c:pt>
                <c:pt idx="321">
                  <c:v>17-Nov</c:v>
                </c:pt>
                <c:pt idx="322">
                  <c:v>18-Nov</c:v>
                </c:pt>
                <c:pt idx="323">
                  <c:v>19-Nov</c:v>
                </c:pt>
                <c:pt idx="324">
                  <c:v>20-Nov</c:v>
                </c:pt>
                <c:pt idx="325">
                  <c:v>21-Nov</c:v>
                </c:pt>
                <c:pt idx="326">
                  <c:v>22-Nov</c:v>
                </c:pt>
                <c:pt idx="327">
                  <c:v>23-Nov</c:v>
                </c:pt>
                <c:pt idx="328">
                  <c:v>24-Nov</c:v>
                </c:pt>
                <c:pt idx="329">
                  <c:v>25-Nov</c:v>
                </c:pt>
                <c:pt idx="330">
                  <c:v>26-Nov</c:v>
                </c:pt>
                <c:pt idx="331">
                  <c:v>27-Nov</c:v>
                </c:pt>
                <c:pt idx="332">
                  <c:v>28-Nov</c:v>
                </c:pt>
                <c:pt idx="333">
                  <c:v>29-Nov</c:v>
                </c:pt>
                <c:pt idx="334">
                  <c:v>30-Nov</c:v>
                </c:pt>
                <c:pt idx="335">
                  <c:v>1-Dec</c:v>
                </c:pt>
                <c:pt idx="336">
                  <c:v>2-Dec</c:v>
                </c:pt>
                <c:pt idx="337">
                  <c:v>3-Dec</c:v>
                </c:pt>
                <c:pt idx="338">
                  <c:v>4-Dec</c:v>
                </c:pt>
                <c:pt idx="339">
                  <c:v>5-Dec</c:v>
                </c:pt>
                <c:pt idx="340">
                  <c:v>6-Dec</c:v>
                </c:pt>
                <c:pt idx="341">
                  <c:v>7-Dec</c:v>
                </c:pt>
                <c:pt idx="342">
                  <c:v>8-Dec</c:v>
                </c:pt>
                <c:pt idx="343">
                  <c:v>9-Dec</c:v>
                </c:pt>
                <c:pt idx="344">
                  <c:v>10-Dec</c:v>
                </c:pt>
                <c:pt idx="345">
                  <c:v>11-Dec</c:v>
                </c:pt>
                <c:pt idx="346">
                  <c:v>12-Dec</c:v>
                </c:pt>
                <c:pt idx="347">
                  <c:v>13-Dec</c:v>
                </c:pt>
                <c:pt idx="348">
                  <c:v>14-Dec</c:v>
                </c:pt>
                <c:pt idx="349">
                  <c:v>15-Dec</c:v>
                </c:pt>
                <c:pt idx="350">
                  <c:v>16-Dec</c:v>
                </c:pt>
                <c:pt idx="351">
                  <c:v>17-Dec</c:v>
                </c:pt>
                <c:pt idx="352">
                  <c:v>18-Dec</c:v>
                </c:pt>
                <c:pt idx="353">
                  <c:v>19-Dec</c:v>
                </c:pt>
                <c:pt idx="354">
                  <c:v>20-Dec</c:v>
                </c:pt>
                <c:pt idx="355">
                  <c:v>21-Dec</c:v>
                </c:pt>
                <c:pt idx="356">
                  <c:v>22-Dec</c:v>
                </c:pt>
                <c:pt idx="357">
                  <c:v>23-Dec</c:v>
                </c:pt>
                <c:pt idx="358">
                  <c:v>24-Dec</c:v>
                </c:pt>
                <c:pt idx="359">
                  <c:v>25-Dec</c:v>
                </c:pt>
                <c:pt idx="360">
                  <c:v>26-Dec</c:v>
                </c:pt>
                <c:pt idx="361">
                  <c:v>27-Dec</c:v>
                </c:pt>
                <c:pt idx="362">
                  <c:v>28-Dec</c:v>
                </c:pt>
                <c:pt idx="363">
                  <c:v>29-Dec</c:v>
                </c:pt>
                <c:pt idx="364">
                  <c:v>30-Dec</c:v>
                </c:pt>
                <c:pt idx="365">
                  <c:v>31-Dec</c:v>
                </c:pt>
              </c:strCache>
            </c:strRef>
          </c:cat>
          <c:val>
            <c:numRef>
              <c:f>'Pivot report'!$F$5:$F$371</c:f>
              <c:numCache>
                <c:formatCode>0</c:formatCode>
                <c:ptCount val="366"/>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pt idx="31">
                  <c:v>13</c:v>
                </c:pt>
                <c:pt idx="32">
                  <c:v>10</c:v>
                </c:pt>
                <c:pt idx="33">
                  <c:v>8</c:v>
                </c:pt>
                <c:pt idx="34">
                  <c:v>12</c:v>
                </c:pt>
                <c:pt idx="35">
                  <c:v>19</c:v>
                </c:pt>
                <c:pt idx="36">
                  <c:v>9</c:v>
                </c:pt>
                <c:pt idx="37">
                  <c:v>13</c:v>
                </c:pt>
                <c:pt idx="38">
                  <c:v>19</c:v>
                </c:pt>
                <c:pt idx="39">
                  <c:v>10</c:v>
                </c:pt>
                <c:pt idx="40">
                  <c:v>20</c:v>
                </c:pt>
                <c:pt idx="41">
                  <c:v>15</c:v>
                </c:pt>
                <c:pt idx="42">
                  <c:v>13</c:v>
                </c:pt>
                <c:pt idx="43">
                  <c:v>9</c:v>
                </c:pt>
                <c:pt idx="44">
                  <c:v>19</c:v>
                </c:pt>
                <c:pt idx="45">
                  <c:v>14</c:v>
                </c:pt>
                <c:pt idx="46">
                  <c:v>17</c:v>
                </c:pt>
                <c:pt idx="47">
                  <c:v>17</c:v>
                </c:pt>
                <c:pt idx="48">
                  <c:v>15</c:v>
                </c:pt>
                <c:pt idx="49">
                  <c:v>9</c:v>
                </c:pt>
                <c:pt idx="50">
                  <c:v>14</c:v>
                </c:pt>
                <c:pt idx="51">
                  <c:v>22</c:v>
                </c:pt>
                <c:pt idx="52">
                  <c:v>16</c:v>
                </c:pt>
                <c:pt idx="53">
                  <c:v>22</c:v>
                </c:pt>
                <c:pt idx="54">
                  <c:v>12</c:v>
                </c:pt>
                <c:pt idx="55">
                  <c:v>20</c:v>
                </c:pt>
                <c:pt idx="56">
                  <c:v>18</c:v>
                </c:pt>
                <c:pt idx="57">
                  <c:v>18</c:v>
                </c:pt>
                <c:pt idx="58">
                  <c:v>13</c:v>
                </c:pt>
                <c:pt idx="59">
                  <c:v>15</c:v>
                </c:pt>
                <c:pt idx="60">
                  <c:v>19</c:v>
                </c:pt>
                <c:pt idx="61">
                  <c:v>24</c:v>
                </c:pt>
                <c:pt idx="62">
                  <c:v>24</c:v>
                </c:pt>
                <c:pt idx="63">
                  <c:v>14</c:v>
                </c:pt>
                <c:pt idx="64">
                  <c:v>14</c:v>
                </c:pt>
                <c:pt idx="65">
                  <c:v>16</c:v>
                </c:pt>
                <c:pt idx="66">
                  <c:v>26</c:v>
                </c:pt>
                <c:pt idx="67">
                  <c:v>14</c:v>
                </c:pt>
                <c:pt idx="68">
                  <c:v>22</c:v>
                </c:pt>
                <c:pt idx="69">
                  <c:v>18</c:v>
                </c:pt>
                <c:pt idx="70">
                  <c:v>20</c:v>
                </c:pt>
                <c:pt idx="71">
                  <c:v>13</c:v>
                </c:pt>
                <c:pt idx="72">
                  <c:v>13</c:v>
                </c:pt>
                <c:pt idx="73">
                  <c:v>14</c:v>
                </c:pt>
                <c:pt idx="74">
                  <c:v>13</c:v>
                </c:pt>
                <c:pt idx="75">
                  <c:v>18</c:v>
                </c:pt>
                <c:pt idx="76">
                  <c:v>12</c:v>
                </c:pt>
                <c:pt idx="77">
                  <c:v>11</c:v>
                </c:pt>
                <c:pt idx="78">
                  <c:v>14</c:v>
                </c:pt>
                <c:pt idx="79">
                  <c:v>12</c:v>
                </c:pt>
                <c:pt idx="80">
                  <c:v>16</c:v>
                </c:pt>
                <c:pt idx="81">
                  <c:v>16</c:v>
                </c:pt>
                <c:pt idx="82">
                  <c:v>15</c:v>
                </c:pt>
                <c:pt idx="83">
                  <c:v>22</c:v>
                </c:pt>
                <c:pt idx="84">
                  <c:v>18</c:v>
                </c:pt>
                <c:pt idx="85">
                  <c:v>10</c:v>
                </c:pt>
                <c:pt idx="86">
                  <c:v>17</c:v>
                </c:pt>
                <c:pt idx="87">
                  <c:v>17</c:v>
                </c:pt>
                <c:pt idx="88">
                  <c:v>12</c:v>
                </c:pt>
                <c:pt idx="89">
                  <c:v>14</c:v>
                </c:pt>
                <c:pt idx="90">
                  <c:v>18</c:v>
                </c:pt>
                <c:pt idx="91">
                  <c:v>31</c:v>
                </c:pt>
                <c:pt idx="92">
                  <c:v>32</c:v>
                </c:pt>
                <c:pt idx="93">
                  <c:v>31</c:v>
                </c:pt>
                <c:pt idx="94">
                  <c:v>29</c:v>
                </c:pt>
                <c:pt idx="95">
                  <c:v>34</c:v>
                </c:pt>
                <c:pt idx="96">
                  <c:v>31</c:v>
                </c:pt>
                <c:pt idx="97">
                  <c:v>27</c:v>
                </c:pt>
                <c:pt idx="98">
                  <c:v>32</c:v>
                </c:pt>
                <c:pt idx="99">
                  <c:v>27</c:v>
                </c:pt>
                <c:pt idx="100">
                  <c:v>27</c:v>
                </c:pt>
                <c:pt idx="101">
                  <c:v>33</c:v>
                </c:pt>
                <c:pt idx="102">
                  <c:v>42</c:v>
                </c:pt>
                <c:pt idx="103">
                  <c:v>25</c:v>
                </c:pt>
                <c:pt idx="104">
                  <c:v>34</c:v>
                </c:pt>
                <c:pt idx="105">
                  <c:v>32</c:v>
                </c:pt>
                <c:pt idx="106">
                  <c:v>34</c:v>
                </c:pt>
                <c:pt idx="107">
                  <c:v>26</c:v>
                </c:pt>
                <c:pt idx="108">
                  <c:v>36</c:v>
                </c:pt>
                <c:pt idx="109">
                  <c:v>31</c:v>
                </c:pt>
                <c:pt idx="110">
                  <c:v>32</c:v>
                </c:pt>
                <c:pt idx="111">
                  <c:v>33</c:v>
                </c:pt>
                <c:pt idx="112">
                  <c:v>39</c:v>
                </c:pt>
                <c:pt idx="113">
                  <c:v>27</c:v>
                </c:pt>
                <c:pt idx="114">
                  <c:v>32</c:v>
                </c:pt>
                <c:pt idx="115">
                  <c:v>33</c:v>
                </c:pt>
                <c:pt idx="116">
                  <c:v>34</c:v>
                </c:pt>
                <c:pt idx="117">
                  <c:v>35</c:v>
                </c:pt>
                <c:pt idx="118">
                  <c:v>32</c:v>
                </c:pt>
                <c:pt idx="119">
                  <c:v>27</c:v>
                </c:pt>
                <c:pt idx="120">
                  <c:v>30</c:v>
                </c:pt>
                <c:pt idx="121">
                  <c:v>34</c:v>
                </c:pt>
                <c:pt idx="122">
                  <c:v>37</c:v>
                </c:pt>
                <c:pt idx="123">
                  <c:v>41</c:v>
                </c:pt>
                <c:pt idx="124">
                  <c:v>31</c:v>
                </c:pt>
                <c:pt idx="125">
                  <c:v>29</c:v>
                </c:pt>
                <c:pt idx="126">
                  <c:v>33</c:v>
                </c:pt>
                <c:pt idx="127">
                  <c:v>30</c:v>
                </c:pt>
                <c:pt idx="128">
                  <c:v>37</c:v>
                </c:pt>
                <c:pt idx="129">
                  <c:v>33</c:v>
                </c:pt>
                <c:pt idx="130">
                  <c:v>37</c:v>
                </c:pt>
                <c:pt idx="131">
                  <c:v>31</c:v>
                </c:pt>
                <c:pt idx="132">
                  <c:v>25</c:v>
                </c:pt>
                <c:pt idx="133">
                  <c:v>25</c:v>
                </c:pt>
                <c:pt idx="134">
                  <c:v>25</c:v>
                </c:pt>
                <c:pt idx="135">
                  <c:v>23</c:v>
                </c:pt>
                <c:pt idx="136">
                  <c:v>41</c:v>
                </c:pt>
                <c:pt idx="137">
                  <c:v>31</c:v>
                </c:pt>
                <c:pt idx="138">
                  <c:v>34</c:v>
                </c:pt>
                <c:pt idx="139">
                  <c:v>31</c:v>
                </c:pt>
                <c:pt idx="140">
                  <c:v>31</c:v>
                </c:pt>
                <c:pt idx="141">
                  <c:v>44</c:v>
                </c:pt>
                <c:pt idx="142">
                  <c:v>43</c:v>
                </c:pt>
                <c:pt idx="143">
                  <c:v>33</c:v>
                </c:pt>
                <c:pt idx="144">
                  <c:v>28</c:v>
                </c:pt>
                <c:pt idx="145">
                  <c:v>34</c:v>
                </c:pt>
                <c:pt idx="146">
                  <c:v>24</c:v>
                </c:pt>
                <c:pt idx="147">
                  <c:v>27</c:v>
                </c:pt>
                <c:pt idx="148">
                  <c:v>23</c:v>
                </c:pt>
                <c:pt idx="149">
                  <c:v>35</c:v>
                </c:pt>
                <c:pt idx="150">
                  <c:v>39</c:v>
                </c:pt>
                <c:pt idx="151">
                  <c:v>30</c:v>
                </c:pt>
                <c:pt idx="152">
                  <c:v>43</c:v>
                </c:pt>
                <c:pt idx="153">
                  <c:v>27</c:v>
                </c:pt>
                <c:pt idx="154">
                  <c:v>42</c:v>
                </c:pt>
                <c:pt idx="155">
                  <c:v>32</c:v>
                </c:pt>
                <c:pt idx="156">
                  <c:v>32</c:v>
                </c:pt>
                <c:pt idx="157">
                  <c:v>28</c:v>
                </c:pt>
                <c:pt idx="158">
                  <c:v>32</c:v>
                </c:pt>
                <c:pt idx="159">
                  <c:v>39</c:v>
                </c:pt>
                <c:pt idx="160">
                  <c:v>40</c:v>
                </c:pt>
                <c:pt idx="161">
                  <c:v>31</c:v>
                </c:pt>
                <c:pt idx="162">
                  <c:v>34</c:v>
                </c:pt>
                <c:pt idx="163">
                  <c:v>37</c:v>
                </c:pt>
                <c:pt idx="164">
                  <c:v>30</c:v>
                </c:pt>
                <c:pt idx="165">
                  <c:v>25</c:v>
                </c:pt>
                <c:pt idx="166">
                  <c:v>38</c:v>
                </c:pt>
                <c:pt idx="167">
                  <c:v>27</c:v>
                </c:pt>
                <c:pt idx="168">
                  <c:v>37</c:v>
                </c:pt>
                <c:pt idx="169">
                  <c:v>33</c:v>
                </c:pt>
                <c:pt idx="170">
                  <c:v>23</c:v>
                </c:pt>
                <c:pt idx="171">
                  <c:v>27</c:v>
                </c:pt>
                <c:pt idx="172">
                  <c:v>29</c:v>
                </c:pt>
                <c:pt idx="173">
                  <c:v>38</c:v>
                </c:pt>
                <c:pt idx="174">
                  <c:v>28</c:v>
                </c:pt>
                <c:pt idx="175">
                  <c:v>36</c:v>
                </c:pt>
                <c:pt idx="176">
                  <c:v>31</c:v>
                </c:pt>
                <c:pt idx="177">
                  <c:v>34</c:v>
                </c:pt>
                <c:pt idx="178">
                  <c:v>39</c:v>
                </c:pt>
                <c:pt idx="179">
                  <c:v>40</c:v>
                </c:pt>
                <c:pt idx="180">
                  <c:v>31</c:v>
                </c:pt>
                <c:pt idx="181">
                  <c:v>28</c:v>
                </c:pt>
                <c:pt idx="182">
                  <c:v>32</c:v>
                </c:pt>
                <c:pt idx="183">
                  <c:v>28</c:v>
                </c:pt>
                <c:pt idx="184">
                  <c:v>28</c:v>
                </c:pt>
                <c:pt idx="185">
                  <c:v>25</c:v>
                </c:pt>
                <c:pt idx="186">
                  <c:v>23</c:v>
                </c:pt>
                <c:pt idx="187">
                  <c:v>22</c:v>
                </c:pt>
                <c:pt idx="188">
                  <c:v>33</c:v>
                </c:pt>
                <c:pt idx="189">
                  <c:v>31</c:v>
                </c:pt>
                <c:pt idx="190">
                  <c:v>35</c:v>
                </c:pt>
                <c:pt idx="191">
                  <c:v>30</c:v>
                </c:pt>
                <c:pt idx="192">
                  <c:v>32</c:v>
                </c:pt>
                <c:pt idx="193">
                  <c:v>39</c:v>
                </c:pt>
                <c:pt idx="194">
                  <c:v>39</c:v>
                </c:pt>
                <c:pt idx="195">
                  <c:v>30</c:v>
                </c:pt>
                <c:pt idx="196">
                  <c:v>29</c:v>
                </c:pt>
                <c:pt idx="197">
                  <c:v>34</c:v>
                </c:pt>
                <c:pt idx="198">
                  <c:v>30</c:v>
                </c:pt>
                <c:pt idx="199">
                  <c:v>28</c:v>
                </c:pt>
                <c:pt idx="200">
                  <c:v>33</c:v>
                </c:pt>
                <c:pt idx="201">
                  <c:v>30</c:v>
                </c:pt>
                <c:pt idx="202">
                  <c:v>31</c:v>
                </c:pt>
                <c:pt idx="203">
                  <c:v>27</c:v>
                </c:pt>
                <c:pt idx="204">
                  <c:v>32</c:v>
                </c:pt>
                <c:pt idx="205">
                  <c:v>29</c:v>
                </c:pt>
                <c:pt idx="206">
                  <c:v>29</c:v>
                </c:pt>
                <c:pt idx="207">
                  <c:v>29</c:v>
                </c:pt>
                <c:pt idx="208">
                  <c:v>30</c:v>
                </c:pt>
                <c:pt idx="209">
                  <c:v>32</c:v>
                </c:pt>
                <c:pt idx="210">
                  <c:v>39</c:v>
                </c:pt>
                <c:pt idx="211">
                  <c:v>32</c:v>
                </c:pt>
                <c:pt idx="212">
                  <c:v>31</c:v>
                </c:pt>
                <c:pt idx="213">
                  <c:v>42</c:v>
                </c:pt>
                <c:pt idx="214">
                  <c:v>34</c:v>
                </c:pt>
                <c:pt idx="215">
                  <c:v>31</c:v>
                </c:pt>
                <c:pt idx="216">
                  <c:v>29</c:v>
                </c:pt>
                <c:pt idx="217">
                  <c:v>42</c:v>
                </c:pt>
                <c:pt idx="218">
                  <c:v>22</c:v>
                </c:pt>
                <c:pt idx="219">
                  <c:v>28</c:v>
                </c:pt>
                <c:pt idx="220">
                  <c:v>31</c:v>
                </c:pt>
                <c:pt idx="221">
                  <c:v>24</c:v>
                </c:pt>
                <c:pt idx="222">
                  <c:v>48</c:v>
                </c:pt>
                <c:pt idx="223">
                  <c:v>32</c:v>
                </c:pt>
                <c:pt idx="224">
                  <c:v>37</c:v>
                </c:pt>
                <c:pt idx="225">
                  <c:v>30</c:v>
                </c:pt>
                <c:pt idx="226">
                  <c:v>27</c:v>
                </c:pt>
                <c:pt idx="227">
                  <c:v>32</c:v>
                </c:pt>
                <c:pt idx="228">
                  <c:v>33</c:v>
                </c:pt>
                <c:pt idx="229">
                  <c:v>37</c:v>
                </c:pt>
                <c:pt idx="230">
                  <c:v>33</c:v>
                </c:pt>
                <c:pt idx="231">
                  <c:v>35</c:v>
                </c:pt>
                <c:pt idx="232">
                  <c:v>45</c:v>
                </c:pt>
                <c:pt idx="233">
                  <c:v>26</c:v>
                </c:pt>
                <c:pt idx="234">
                  <c:v>24</c:v>
                </c:pt>
                <c:pt idx="235">
                  <c:v>34</c:v>
                </c:pt>
                <c:pt idx="236">
                  <c:v>31</c:v>
                </c:pt>
                <c:pt idx="237">
                  <c:v>42</c:v>
                </c:pt>
                <c:pt idx="238">
                  <c:v>31</c:v>
                </c:pt>
                <c:pt idx="239">
                  <c:v>34</c:v>
                </c:pt>
                <c:pt idx="240">
                  <c:v>38</c:v>
                </c:pt>
                <c:pt idx="241">
                  <c:v>39</c:v>
                </c:pt>
                <c:pt idx="242">
                  <c:v>25</c:v>
                </c:pt>
                <c:pt idx="243">
                  <c:v>28</c:v>
                </c:pt>
                <c:pt idx="244">
                  <c:v>35</c:v>
                </c:pt>
                <c:pt idx="245">
                  <c:v>35</c:v>
                </c:pt>
                <c:pt idx="246">
                  <c:v>37</c:v>
                </c:pt>
                <c:pt idx="247">
                  <c:v>31</c:v>
                </c:pt>
                <c:pt idx="248">
                  <c:v>24</c:v>
                </c:pt>
                <c:pt idx="249">
                  <c:v>28</c:v>
                </c:pt>
                <c:pt idx="250">
                  <c:v>29</c:v>
                </c:pt>
                <c:pt idx="251">
                  <c:v>34</c:v>
                </c:pt>
                <c:pt idx="252">
                  <c:v>32</c:v>
                </c:pt>
                <c:pt idx="253">
                  <c:v>29</c:v>
                </c:pt>
                <c:pt idx="254">
                  <c:v>21</c:v>
                </c:pt>
                <c:pt idx="255">
                  <c:v>29</c:v>
                </c:pt>
                <c:pt idx="256">
                  <c:v>24</c:v>
                </c:pt>
                <c:pt idx="257">
                  <c:v>28</c:v>
                </c:pt>
                <c:pt idx="258">
                  <c:v>44</c:v>
                </c:pt>
                <c:pt idx="259">
                  <c:v>35</c:v>
                </c:pt>
                <c:pt idx="260">
                  <c:v>38</c:v>
                </c:pt>
                <c:pt idx="261">
                  <c:v>28</c:v>
                </c:pt>
                <c:pt idx="262">
                  <c:v>34</c:v>
                </c:pt>
                <c:pt idx="263">
                  <c:v>26</c:v>
                </c:pt>
                <c:pt idx="264">
                  <c:v>36</c:v>
                </c:pt>
                <c:pt idx="265">
                  <c:v>32</c:v>
                </c:pt>
                <c:pt idx="266">
                  <c:v>25</c:v>
                </c:pt>
                <c:pt idx="267">
                  <c:v>30</c:v>
                </c:pt>
                <c:pt idx="268">
                  <c:v>29</c:v>
                </c:pt>
                <c:pt idx="269">
                  <c:v>32</c:v>
                </c:pt>
                <c:pt idx="270">
                  <c:v>29</c:v>
                </c:pt>
                <c:pt idx="271">
                  <c:v>33</c:v>
                </c:pt>
                <c:pt idx="272">
                  <c:v>32</c:v>
                </c:pt>
                <c:pt idx="273">
                  <c:v>36</c:v>
                </c:pt>
                <c:pt idx="274">
                  <c:v>35</c:v>
                </c:pt>
                <c:pt idx="275">
                  <c:v>25</c:v>
                </c:pt>
                <c:pt idx="276">
                  <c:v>33</c:v>
                </c:pt>
                <c:pt idx="277">
                  <c:v>34</c:v>
                </c:pt>
                <c:pt idx="278">
                  <c:v>30</c:v>
                </c:pt>
                <c:pt idx="279">
                  <c:v>26</c:v>
                </c:pt>
                <c:pt idx="280">
                  <c:v>29</c:v>
                </c:pt>
                <c:pt idx="281">
                  <c:v>26</c:v>
                </c:pt>
                <c:pt idx="282">
                  <c:v>37</c:v>
                </c:pt>
                <c:pt idx="283">
                  <c:v>22</c:v>
                </c:pt>
                <c:pt idx="284">
                  <c:v>43</c:v>
                </c:pt>
                <c:pt idx="285">
                  <c:v>37</c:v>
                </c:pt>
                <c:pt idx="286">
                  <c:v>34</c:v>
                </c:pt>
                <c:pt idx="287">
                  <c:v>31</c:v>
                </c:pt>
                <c:pt idx="288">
                  <c:v>25</c:v>
                </c:pt>
                <c:pt idx="289">
                  <c:v>26</c:v>
                </c:pt>
                <c:pt idx="290">
                  <c:v>28</c:v>
                </c:pt>
                <c:pt idx="291">
                  <c:v>43</c:v>
                </c:pt>
                <c:pt idx="292">
                  <c:v>33</c:v>
                </c:pt>
                <c:pt idx="293">
                  <c:v>42</c:v>
                </c:pt>
                <c:pt idx="294">
                  <c:v>35</c:v>
                </c:pt>
                <c:pt idx="295">
                  <c:v>35</c:v>
                </c:pt>
                <c:pt idx="296">
                  <c:v>31</c:v>
                </c:pt>
                <c:pt idx="297">
                  <c:v>31</c:v>
                </c:pt>
                <c:pt idx="298">
                  <c:v>33</c:v>
                </c:pt>
                <c:pt idx="299">
                  <c:v>33</c:v>
                </c:pt>
                <c:pt idx="300">
                  <c:v>20</c:v>
                </c:pt>
                <c:pt idx="301">
                  <c:v>29</c:v>
                </c:pt>
                <c:pt idx="302">
                  <c:v>27</c:v>
                </c:pt>
                <c:pt idx="303">
                  <c:v>31</c:v>
                </c:pt>
                <c:pt idx="304">
                  <c:v>20</c:v>
                </c:pt>
                <c:pt idx="305">
                  <c:v>17</c:v>
                </c:pt>
                <c:pt idx="306">
                  <c:v>12</c:v>
                </c:pt>
                <c:pt idx="307">
                  <c:v>14</c:v>
                </c:pt>
                <c:pt idx="308">
                  <c:v>17</c:v>
                </c:pt>
                <c:pt idx="309">
                  <c:v>17</c:v>
                </c:pt>
                <c:pt idx="310">
                  <c:v>16</c:v>
                </c:pt>
                <c:pt idx="311">
                  <c:v>19</c:v>
                </c:pt>
                <c:pt idx="312">
                  <c:v>14</c:v>
                </c:pt>
                <c:pt idx="313">
                  <c:v>17</c:v>
                </c:pt>
                <c:pt idx="314">
                  <c:v>13</c:v>
                </c:pt>
                <c:pt idx="315">
                  <c:v>12</c:v>
                </c:pt>
                <c:pt idx="316">
                  <c:v>16</c:v>
                </c:pt>
                <c:pt idx="317">
                  <c:v>9</c:v>
                </c:pt>
                <c:pt idx="318">
                  <c:v>17</c:v>
                </c:pt>
                <c:pt idx="319">
                  <c:v>16</c:v>
                </c:pt>
                <c:pt idx="320">
                  <c:v>17</c:v>
                </c:pt>
                <c:pt idx="321">
                  <c:v>21</c:v>
                </c:pt>
                <c:pt idx="322">
                  <c:v>15</c:v>
                </c:pt>
                <c:pt idx="323">
                  <c:v>22</c:v>
                </c:pt>
                <c:pt idx="324">
                  <c:v>14</c:v>
                </c:pt>
                <c:pt idx="325">
                  <c:v>13</c:v>
                </c:pt>
                <c:pt idx="326">
                  <c:v>10</c:v>
                </c:pt>
                <c:pt idx="327">
                  <c:v>17</c:v>
                </c:pt>
                <c:pt idx="328">
                  <c:v>17</c:v>
                </c:pt>
                <c:pt idx="329">
                  <c:v>13</c:v>
                </c:pt>
                <c:pt idx="330">
                  <c:v>11</c:v>
                </c:pt>
                <c:pt idx="331">
                  <c:v>19</c:v>
                </c:pt>
                <c:pt idx="332">
                  <c:v>16</c:v>
                </c:pt>
                <c:pt idx="333">
                  <c:v>15</c:v>
                </c:pt>
                <c:pt idx="334">
                  <c:v>18</c:v>
                </c:pt>
                <c:pt idx="335">
                  <c:v>16</c:v>
                </c:pt>
                <c:pt idx="336">
                  <c:v>15</c:v>
                </c:pt>
                <c:pt idx="337">
                  <c:v>14</c:v>
                </c:pt>
                <c:pt idx="338">
                  <c:v>12</c:v>
                </c:pt>
                <c:pt idx="339">
                  <c:v>16</c:v>
                </c:pt>
                <c:pt idx="340">
                  <c:v>11</c:v>
                </c:pt>
                <c:pt idx="341">
                  <c:v>7</c:v>
                </c:pt>
                <c:pt idx="342">
                  <c:v>16</c:v>
                </c:pt>
                <c:pt idx="343">
                  <c:v>7</c:v>
                </c:pt>
                <c:pt idx="344">
                  <c:v>16</c:v>
                </c:pt>
                <c:pt idx="345">
                  <c:v>16</c:v>
                </c:pt>
                <c:pt idx="346">
                  <c:v>19</c:v>
                </c:pt>
                <c:pt idx="347">
                  <c:v>10</c:v>
                </c:pt>
                <c:pt idx="348">
                  <c:v>13</c:v>
                </c:pt>
                <c:pt idx="349">
                  <c:v>27</c:v>
                </c:pt>
                <c:pt idx="350">
                  <c:v>19</c:v>
                </c:pt>
                <c:pt idx="351">
                  <c:v>18</c:v>
                </c:pt>
                <c:pt idx="352">
                  <c:v>12</c:v>
                </c:pt>
                <c:pt idx="353">
                  <c:v>20</c:v>
                </c:pt>
                <c:pt idx="354">
                  <c:v>12</c:v>
                </c:pt>
                <c:pt idx="355">
                  <c:v>19</c:v>
                </c:pt>
                <c:pt idx="356">
                  <c:v>18</c:v>
                </c:pt>
                <c:pt idx="357">
                  <c:v>21</c:v>
                </c:pt>
                <c:pt idx="358">
                  <c:v>18</c:v>
                </c:pt>
                <c:pt idx="359">
                  <c:v>16</c:v>
                </c:pt>
                <c:pt idx="360">
                  <c:v>14</c:v>
                </c:pt>
                <c:pt idx="361">
                  <c:v>14</c:v>
                </c:pt>
                <c:pt idx="362">
                  <c:v>16</c:v>
                </c:pt>
                <c:pt idx="363">
                  <c:v>21</c:v>
                </c:pt>
                <c:pt idx="364">
                  <c:v>21</c:v>
                </c:pt>
                <c:pt idx="365">
                  <c:v>15</c:v>
                </c:pt>
              </c:numCache>
            </c:numRef>
          </c:val>
          <c:extLst>
            <c:ext xmlns:c16="http://schemas.microsoft.com/office/drawing/2014/chart" uri="{C3380CC4-5D6E-409C-BE32-E72D297353CC}">
              <c16:uniqueId val="{00000000-C09D-4ADA-835F-9BFD0E817CE7}"/>
            </c:ext>
          </c:extLst>
        </c:ser>
        <c:dLbls>
          <c:showLegendKey val="0"/>
          <c:showVal val="0"/>
          <c:showCatName val="0"/>
          <c:showSerName val="0"/>
          <c:showPercent val="0"/>
          <c:showBubbleSize val="0"/>
        </c:dLbls>
        <c:axId val="453811744"/>
        <c:axId val="453812224"/>
      </c:areaChart>
      <c:catAx>
        <c:axId val="453811744"/>
        <c:scaling>
          <c:orientation val="minMax"/>
        </c:scaling>
        <c:delete val="1"/>
        <c:axPos val="b"/>
        <c:numFmt formatCode="General" sourceLinked="1"/>
        <c:majorTickMark val="out"/>
        <c:minorTickMark val="none"/>
        <c:tickLblPos val="nextTo"/>
        <c:crossAx val="453812224"/>
        <c:crosses val="autoZero"/>
        <c:auto val="1"/>
        <c:lblAlgn val="ctr"/>
        <c:lblOffset val="100"/>
        <c:noMultiLvlLbl val="0"/>
      </c:catAx>
      <c:valAx>
        <c:axId val="453812224"/>
        <c:scaling>
          <c:orientation val="minMax"/>
        </c:scaling>
        <c:delete val="1"/>
        <c:axPos val="l"/>
        <c:numFmt formatCode="0" sourceLinked="1"/>
        <c:majorTickMark val="none"/>
        <c:minorTickMark val="none"/>
        <c:tickLblPos val="nextTo"/>
        <c:crossAx val="45381174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[Hospital_Emergency_Room_Analysis.xlsx.xlsx]Pivot report!PivotTable5</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803909418803839E-2"/>
          <c:y val="0.17741931728487909"/>
          <c:w val="0.85439218116239235"/>
          <c:h val="0.49731193435950932"/>
        </c:manualLayout>
      </c:layout>
      <c:areaChart>
        <c:grouping val="standard"/>
        <c:varyColors val="0"/>
        <c:ser>
          <c:idx val="0"/>
          <c:order val="0"/>
          <c:tx>
            <c:strRef>
              <c:f>'Pivot report'!$J$4</c:f>
              <c:strCache>
                <c:ptCount val="1"/>
                <c:pt idx="0">
                  <c:v>Total</c:v>
                </c:pt>
              </c:strCache>
            </c:strRef>
          </c:tx>
          <c:spPr>
            <a:solidFill>
              <a:schemeClr val="accent1"/>
            </a:solidFill>
            <a:ln>
              <a:noFill/>
            </a:ln>
            <a:effectLst/>
          </c:spPr>
          <c:cat>
            <c:strRef>
              <c:f>'Pivot report'!$I$5:$I$371</c:f>
              <c:strCache>
                <c:ptCount val="366"/>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pt idx="304">
                  <c:v>31-Oct</c:v>
                </c:pt>
                <c:pt idx="305">
                  <c:v>1-Nov</c:v>
                </c:pt>
                <c:pt idx="306">
                  <c:v>2-Nov</c:v>
                </c:pt>
                <c:pt idx="307">
                  <c:v>3-Nov</c:v>
                </c:pt>
                <c:pt idx="308">
                  <c:v>4-Nov</c:v>
                </c:pt>
                <c:pt idx="309">
                  <c:v>5-Nov</c:v>
                </c:pt>
                <c:pt idx="310">
                  <c:v>6-Nov</c:v>
                </c:pt>
                <c:pt idx="311">
                  <c:v>7-Nov</c:v>
                </c:pt>
                <c:pt idx="312">
                  <c:v>8-Nov</c:v>
                </c:pt>
                <c:pt idx="313">
                  <c:v>9-Nov</c:v>
                </c:pt>
                <c:pt idx="314">
                  <c:v>10-Nov</c:v>
                </c:pt>
                <c:pt idx="315">
                  <c:v>11-Nov</c:v>
                </c:pt>
                <c:pt idx="316">
                  <c:v>12-Nov</c:v>
                </c:pt>
                <c:pt idx="317">
                  <c:v>13-Nov</c:v>
                </c:pt>
                <c:pt idx="318">
                  <c:v>14-Nov</c:v>
                </c:pt>
                <c:pt idx="319">
                  <c:v>15-Nov</c:v>
                </c:pt>
                <c:pt idx="320">
                  <c:v>16-Nov</c:v>
                </c:pt>
                <c:pt idx="321">
                  <c:v>17-Nov</c:v>
                </c:pt>
                <c:pt idx="322">
                  <c:v>18-Nov</c:v>
                </c:pt>
                <c:pt idx="323">
                  <c:v>19-Nov</c:v>
                </c:pt>
                <c:pt idx="324">
                  <c:v>20-Nov</c:v>
                </c:pt>
                <c:pt idx="325">
                  <c:v>21-Nov</c:v>
                </c:pt>
                <c:pt idx="326">
                  <c:v>22-Nov</c:v>
                </c:pt>
                <c:pt idx="327">
                  <c:v>23-Nov</c:v>
                </c:pt>
                <c:pt idx="328">
                  <c:v>24-Nov</c:v>
                </c:pt>
                <c:pt idx="329">
                  <c:v>25-Nov</c:v>
                </c:pt>
                <c:pt idx="330">
                  <c:v>26-Nov</c:v>
                </c:pt>
                <c:pt idx="331">
                  <c:v>27-Nov</c:v>
                </c:pt>
                <c:pt idx="332">
                  <c:v>28-Nov</c:v>
                </c:pt>
                <c:pt idx="333">
                  <c:v>29-Nov</c:v>
                </c:pt>
                <c:pt idx="334">
                  <c:v>30-Nov</c:v>
                </c:pt>
                <c:pt idx="335">
                  <c:v>1-Dec</c:v>
                </c:pt>
                <c:pt idx="336">
                  <c:v>2-Dec</c:v>
                </c:pt>
                <c:pt idx="337">
                  <c:v>3-Dec</c:v>
                </c:pt>
                <c:pt idx="338">
                  <c:v>4-Dec</c:v>
                </c:pt>
                <c:pt idx="339">
                  <c:v>5-Dec</c:v>
                </c:pt>
                <c:pt idx="340">
                  <c:v>6-Dec</c:v>
                </c:pt>
                <c:pt idx="341">
                  <c:v>7-Dec</c:v>
                </c:pt>
                <c:pt idx="342">
                  <c:v>8-Dec</c:v>
                </c:pt>
                <c:pt idx="343">
                  <c:v>9-Dec</c:v>
                </c:pt>
                <c:pt idx="344">
                  <c:v>10-Dec</c:v>
                </c:pt>
                <c:pt idx="345">
                  <c:v>11-Dec</c:v>
                </c:pt>
                <c:pt idx="346">
                  <c:v>12-Dec</c:v>
                </c:pt>
                <c:pt idx="347">
                  <c:v>13-Dec</c:v>
                </c:pt>
                <c:pt idx="348">
                  <c:v>14-Dec</c:v>
                </c:pt>
                <c:pt idx="349">
                  <c:v>15-Dec</c:v>
                </c:pt>
                <c:pt idx="350">
                  <c:v>16-Dec</c:v>
                </c:pt>
                <c:pt idx="351">
                  <c:v>17-Dec</c:v>
                </c:pt>
                <c:pt idx="352">
                  <c:v>18-Dec</c:v>
                </c:pt>
                <c:pt idx="353">
                  <c:v>19-Dec</c:v>
                </c:pt>
                <c:pt idx="354">
                  <c:v>20-Dec</c:v>
                </c:pt>
                <c:pt idx="355">
                  <c:v>21-Dec</c:v>
                </c:pt>
                <c:pt idx="356">
                  <c:v>22-Dec</c:v>
                </c:pt>
                <c:pt idx="357">
                  <c:v>23-Dec</c:v>
                </c:pt>
                <c:pt idx="358">
                  <c:v>24-Dec</c:v>
                </c:pt>
                <c:pt idx="359">
                  <c:v>25-Dec</c:v>
                </c:pt>
                <c:pt idx="360">
                  <c:v>26-Dec</c:v>
                </c:pt>
                <c:pt idx="361">
                  <c:v>27-Dec</c:v>
                </c:pt>
                <c:pt idx="362">
                  <c:v>28-Dec</c:v>
                </c:pt>
                <c:pt idx="363">
                  <c:v>29-Dec</c:v>
                </c:pt>
                <c:pt idx="364">
                  <c:v>30-Dec</c:v>
                </c:pt>
                <c:pt idx="365">
                  <c:v>31-Dec</c:v>
                </c:pt>
              </c:strCache>
            </c:strRef>
          </c:cat>
          <c:val>
            <c:numRef>
              <c:f>'Pivot report'!$J$5:$J$371</c:f>
              <c:numCache>
                <c:formatCode>0.00</c:formatCode>
                <c:ptCount val="366"/>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pt idx="31">
                  <c:v>35.692307692307693</c:v>
                </c:pt>
                <c:pt idx="32">
                  <c:v>45.4</c:v>
                </c:pt>
                <c:pt idx="33">
                  <c:v>29.375</c:v>
                </c:pt>
                <c:pt idx="34">
                  <c:v>34.583333333333336</c:v>
                </c:pt>
                <c:pt idx="35">
                  <c:v>38.684210526315788</c:v>
                </c:pt>
                <c:pt idx="36">
                  <c:v>34.777777777777779</c:v>
                </c:pt>
                <c:pt idx="37">
                  <c:v>37.307692307692307</c:v>
                </c:pt>
                <c:pt idx="38">
                  <c:v>35.631578947368418</c:v>
                </c:pt>
                <c:pt idx="39">
                  <c:v>36.6</c:v>
                </c:pt>
                <c:pt idx="40">
                  <c:v>39.700000000000003</c:v>
                </c:pt>
                <c:pt idx="41">
                  <c:v>37.4</c:v>
                </c:pt>
                <c:pt idx="42">
                  <c:v>27.76923076923077</c:v>
                </c:pt>
                <c:pt idx="43">
                  <c:v>38.777777777777779</c:v>
                </c:pt>
                <c:pt idx="44">
                  <c:v>31</c:v>
                </c:pt>
                <c:pt idx="45">
                  <c:v>35.928571428571431</c:v>
                </c:pt>
                <c:pt idx="46">
                  <c:v>37.882352941176471</c:v>
                </c:pt>
                <c:pt idx="47">
                  <c:v>40.588235294117645</c:v>
                </c:pt>
                <c:pt idx="48">
                  <c:v>34.533333333333331</c:v>
                </c:pt>
                <c:pt idx="49">
                  <c:v>40.333333333333336</c:v>
                </c:pt>
                <c:pt idx="50">
                  <c:v>35.285714285714285</c:v>
                </c:pt>
                <c:pt idx="51">
                  <c:v>35.5</c:v>
                </c:pt>
                <c:pt idx="52">
                  <c:v>38.5625</c:v>
                </c:pt>
                <c:pt idx="53">
                  <c:v>42.727272727272727</c:v>
                </c:pt>
                <c:pt idx="54">
                  <c:v>37.416666666666664</c:v>
                </c:pt>
                <c:pt idx="55">
                  <c:v>32.450000000000003</c:v>
                </c:pt>
                <c:pt idx="56">
                  <c:v>40.055555555555557</c:v>
                </c:pt>
                <c:pt idx="57">
                  <c:v>31.666666666666668</c:v>
                </c:pt>
                <c:pt idx="58">
                  <c:v>39.769230769230766</c:v>
                </c:pt>
                <c:pt idx="59">
                  <c:v>36.733333333333334</c:v>
                </c:pt>
                <c:pt idx="60">
                  <c:v>34.526315789473685</c:v>
                </c:pt>
                <c:pt idx="61">
                  <c:v>33.708333333333336</c:v>
                </c:pt>
                <c:pt idx="62">
                  <c:v>36.291666666666664</c:v>
                </c:pt>
                <c:pt idx="63">
                  <c:v>35.071428571428569</c:v>
                </c:pt>
                <c:pt idx="64">
                  <c:v>31.571428571428573</c:v>
                </c:pt>
                <c:pt idx="65">
                  <c:v>31.8125</c:v>
                </c:pt>
                <c:pt idx="66">
                  <c:v>36.846153846153847</c:v>
                </c:pt>
                <c:pt idx="67">
                  <c:v>34.071428571428569</c:v>
                </c:pt>
                <c:pt idx="68">
                  <c:v>33</c:v>
                </c:pt>
                <c:pt idx="69">
                  <c:v>40.222222222222221</c:v>
                </c:pt>
                <c:pt idx="70">
                  <c:v>42.05</c:v>
                </c:pt>
                <c:pt idx="71">
                  <c:v>42.615384615384613</c:v>
                </c:pt>
                <c:pt idx="72">
                  <c:v>40.46153846153846</c:v>
                </c:pt>
                <c:pt idx="73">
                  <c:v>34.071428571428569</c:v>
                </c:pt>
                <c:pt idx="74">
                  <c:v>33.92307692307692</c:v>
                </c:pt>
                <c:pt idx="75">
                  <c:v>43.166666666666664</c:v>
                </c:pt>
                <c:pt idx="76">
                  <c:v>42.25</c:v>
                </c:pt>
                <c:pt idx="77">
                  <c:v>44.090909090909093</c:v>
                </c:pt>
                <c:pt idx="78">
                  <c:v>39</c:v>
                </c:pt>
                <c:pt idx="79">
                  <c:v>31.25</c:v>
                </c:pt>
                <c:pt idx="80">
                  <c:v>28.5</c:v>
                </c:pt>
                <c:pt idx="81">
                  <c:v>34.0625</c:v>
                </c:pt>
                <c:pt idx="82">
                  <c:v>25.2</c:v>
                </c:pt>
                <c:pt idx="83">
                  <c:v>35.863636363636367</c:v>
                </c:pt>
                <c:pt idx="84">
                  <c:v>39.833333333333336</c:v>
                </c:pt>
                <c:pt idx="85">
                  <c:v>37</c:v>
                </c:pt>
                <c:pt idx="86">
                  <c:v>39.411764705882355</c:v>
                </c:pt>
                <c:pt idx="87">
                  <c:v>30.294117647058822</c:v>
                </c:pt>
                <c:pt idx="88">
                  <c:v>32.666666666666664</c:v>
                </c:pt>
                <c:pt idx="89">
                  <c:v>30.571428571428573</c:v>
                </c:pt>
                <c:pt idx="90">
                  <c:v>39.055555555555557</c:v>
                </c:pt>
                <c:pt idx="91">
                  <c:v>37.12903225806452</c:v>
                </c:pt>
                <c:pt idx="92">
                  <c:v>35.34375</c:v>
                </c:pt>
                <c:pt idx="93">
                  <c:v>33.064516129032256</c:v>
                </c:pt>
                <c:pt idx="94">
                  <c:v>33.482758620689658</c:v>
                </c:pt>
                <c:pt idx="95">
                  <c:v>34</c:v>
                </c:pt>
                <c:pt idx="96">
                  <c:v>34.354838709677416</c:v>
                </c:pt>
                <c:pt idx="97">
                  <c:v>32.666666666666664</c:v>
                </c:pt>
                <c:pt idx="98">
                  <c:v>30.3125</c:v>
                </c:pt>
                <c:pt idx="99">
                  <c:v>33.925925925925924</c:v>
                </c:pt>
                <c:pt idx="100">
                  <c:v>32.037037037037038</c:v>
                </c:pt>
                <c:pt idx="101">
                  <c:v>38.606060606060609</c:v>
                </c:pt>
                <c:pt idx="102">
                  <c:v>36.761904761904759</c:v>
                </c:pt>
                <c:pt idx="103">
                  <c:v>28.52</c:v>
                </c:pt>
                <c:pt idx="104">
                  <c:v>33.882352941176471</c:v>
                </c:pt>
                <c:pt idx="105">
                  <c:v>39.625</c:v>
                </c:pt>
                <c:pt idx="106">
                  <c:v>31.823529411764707</c:v>
                </c:pt>
                <c:pt idx="107">
                  <c:v>37.769230769230766</c:v>
                </c:pt>
                <c:pt idx="108">
                  <c:v>38.055555555555557</c:v>
                </c:pt>
                <c:pt idx="109">
                  <c:v>30.129032258064516</c:v>
                </c:pt>
                <c:pt idx="110">
                  <c:v>35.03125</c:v>
                </c:pt>
                <c:pt idx="111">
                  <c:v>35.303030303030305</c:v>
                </c:pt>
                <c:pt idx="112">
                  <c:v>35.717948717948715</c:v>
                </c:pt>
                <c:pt idx="113">
                  <c:v>41.407407407407405</c:v>
                </c:pt>
                <c:pt idx="114">
                  <c:v>37.28125</c:v>
                </c:pt>
                <c:pt idx="115">
                  <c:v>38.575757575757578</c:v>
                </c:pt>
                <c:pt idx="116">
                  <c:v>33.411764705882355</c:v>
                </c:pt>
                <c:pt idx="117">
                  <c:v>36.6</c:v>
                </c:pt>
                <c:pt idx="118">
                  <c:v>31.875</c:v>
                </c:pt>
                <c:pt idx="119">
                  <c:v>36.925925925925924</c:v>
                </c:pt>
                <c:pt idx="120">
                  <c:v>33.533333333333331</c:v>
                </c:pt>
                <c:pt idx="121">
                  <c:v>33.205882352941174</c:v>
                </c:pt>
                <c:pt idx="122">
                  <c:v>30.135135135135137</c:v>
                </c:pt>
                <c:pt idx="123">
                  <c:v>38.512195121951223</c:v>
                </c:pt>
                <c:pt idx="124">
                  <c:v>34.806451612903224</c:v>
                </c:pt>
                <c:pt idx="125">
                  <c:v>34.517241379310342</c:v>
                </c:pt>
                <c:pt idx="126">
                  <c:v>36.575757575757578</c:v>
                </c:pt>
                <c:pt idx="127">
                  <c:v>35.833333333333336</c:v>
                </c:pt>
                <c:pt idx="128">
                  <c:v>35.567567567567565</c:v>
                </c:pt>
                <c:pt idx="129">
                  <c:v>36.333333333333336</c:v>
                </c:pt>
                <c:pt idx="130">
                  <c:v>31.351351351351351</c:v>
                </c:pt>
                <c:pt idx="131">
                  <c:v>31.64516129032258</c:v>
                </c:pt>
                <c:pt idx="132">
                  <c:v>40.200000000000003</c:v>
                </c:pt>
                <c:pt idx="133">
                  <c:v>38</c:v>
                </c:pt>
                <c:pt idx="134">
                  <c:v>30.56</c:v>
                </c:pt>
                <c:pt idx="135">
                  <c:v>34.565217391304351</c:v>
                </c:pt>
                <c:pt idx="136">
                  <c:v>32.902439024390247</c:v>
                </c:pt>
                <c:pt idx="137">
                  <c:v>33.451612903225808</c:v>
                </c:pt>
                <c:pt idx="138">
                  <c:v>36.117647058823529</c:v>
                </c:pt>
                <c:pt idx="139">
                  <c:v>36.322580645161288</c:v>
                </c:pt>
                <c:pt idx="140">
                  <c:v>32.806451612903224</c:v>
                </c:pt>
                <c:pt idx="141">
                  <c:v>37.704545454545453</c:v>
                </c:pt>
                <c:pt idx="142">
                  <c:v>36.534883720930232</c:v>
                </c:pt>
                <c:pt idx="143">
                  <c:v>35.303030303030305</c:v>
                </c:pt>
                <c:pt idx="144">
                  <c:v>41.535714285714285</c:v>
                </c:pt>
                <c:pt idx="145">
                  <c:v>38.147058823529413</c:v>
                </c:pt>
                <c:pt idx="146">
                  <c:v>37.166666666666664</c:v>
                </c:pt>
                <c:pt idx="147">
                  <c:v>33.629629629629626</c:v>
                </c:pt>
                <c:pt idx="148">
                  <c:v>33.130434782608695</c:v>
                </c:pt>
                <c:pt idx="149">
                  <c:v>36.085714285714289</c:v>
                </c:pt>
                <c:pt idx="150">
                  <c:v>33.512820512820511</c:v>
                </c:pt>
                <c:pt idx="151">
                  <c:v>33.733333333333334</c:v>
                </c:pt>
                <c:pt idx="152">
                  <c:v>34.279069767441861</c:v>
                </c:pt>
                <c:pt idx="153">
                  <c:v>36.222222222222221</c:v>
                </c:pt>
                <c:pt idx="154">
                  <c:v>35.904761904761905</c:v>
                </c:pt>
                <c:pt idx="155">
                  <c:v>32.53125</c:v>
                </c:pt>
                <c:pt idx="156">
                  <c:v>33.84375</c:v>
                </c:pt>
                <c:pt idx="157">
                  <c:v>35.214285714285715</c:v>
                </c:pt>
                <c:pt idx="158">
                  <c:v>37.21875</c:v>
                </c:pt>
                <c:pt idx="159">
                  <c:v>36.871794871794869</c:v>
                </c:pt>
                <c:pt idx="160">
                  <c:v>36.450000000000003</c:v>
                </c:pt>
                <c:pt idx="161">
                  <c:v>32.935483870967744</c:v>
                </c:pt>
                <c:pt idx="162">
                  <c:v>41.323529411764703</c:v>
                </c:pt>
                <c:pt idx="163">
                  <c:v>34.432432432432435</c:v>
                </c:pt>
                <c:pt idx="164">
                  <c:v>36.966666666666669</c:v>
                </c:pt>
                <c:pt idx="165">
                  <c:v>39.520000000000003</c:v>
                </c:pt>
                <c:pt idx="166">
                  <c:v>36.026315789473685</c:v>
                </c:pt>
                <c:pt idx="167">
                  <c:v>32.370370370370374</c:v>
                </c:pt>
                <c:pt idx="168">
                  <c:v>33.243243243243242</c:v>
                </c:pt>
                <c:pt idx="169">
                  <c:v>33.575757575757578</c:v>
                </c:pt>
                <c:pt idx="170">
                  <c:v>31.130434782608695</c:v>
                </c:pt>
                <c:pt idx="171">
                  <c:v>36.888888888888886</c:v>
                </c:pt>
                <c:pt idx="172">
                  <c:v>29.862068965517242</c:v>
                </c:pt>
                <c:pt idx="173">
                  <c:v>36.526315789473685</c:v>
                </c:pt>
                <c:pt idx="174">
                  <c:v>34.571428571428569</c:v>
                </c:pt>
                <c:pt idx="175">
                  <c:v>38.5</c:v>
                </c:pt>
                <c:pt idx="176">
                  <c:v>37.12903225806452</c:v>
                </c:pt>
                <c:pt idx="177">
                  <c:v>33.852941176470587</c:v>
                </c:pt>
                <c:pt idx="178">
                  <c:v>37.230769230769234</c:v>
                </c:pt>
                <c:pt idx="179">
                  <c:v>36.075000000000003</c:v>
                </c:pt>
                <c:pt idx="180">
                  <c:v>34.354838709677416</c:v>
                </c:pt>
                <c:pt idx="181">
                  <c:v>39.571428571428569</c:v>
                </c:pt>
                <c:pt idx="182">
                  <c:v>37.53125</c:v>
                </c:pt>
                <c:pt idx="183">
                  <c:v>31.357142857142858</c:v>
                </c:pt>
                <c:pt idx="184">
                  <c:v>35.285714285714285</c:v>
                </c:pt>
                <c:pt idx="185">
                  <c:v>34</c:v>
                </c:pt>
                <c:pt idx="186">
                  <c:v>28.391304347826086</c:v>
                </c:pt>
                <c:pt idx="187">
                  <c:v>36.545454545454547</c:v>
                </c:pt>
                <c:pt idx="188">
                  <c:v>33.939393939393938</c:v>
                </c:pt>
                <c:pt idx="189">
                  <c:v>38.516129032258064</c:v>
                </c:pt>
                <c:pt idx="190">
                  <c:v>34.74285714285714</c:v>
                </c:pt>
                <c:pt idx="191">
                  <c:v>34.5</c:v>
                </c:pt>
                <c:pt idx="192">
                  <c:v>31.65625</c:v>
                </c:pt>
                <c:pt idx="193">
                  <c:v>37.384615384615387</c:v>
                </c:pt>
                <c:pt idx="194">
                  <c:v>36.205128205128204</c:v>
                </c:pt>
                <c:pt idx="195">
                  <c:v>35.6</c:v>
                </c:pt>
                <c:pt idx="196">
                  <c:v>31.068965517241381</c:v>
                </c:pt>
                <c:pt idx="197">
                  <c:v>33</c:v>
                </c:pt>
                <c:pt idx="198">
                  <c:v>36.233333333333334</c:v>
                </c:pt>
                <c:pt idx="199">
                  <c:v>37.142857142857146</c:v>
                </c:pt>
                <c:pt idx="200">
                  <c:v>34.666666666666664</c:v>
                </c:pt>
                <c:pt idx="201">
                  <c:v>36.033333333333331</c:v>
                </c:pt>
                <c:pt idx="202">
                  <c:v>33.838709677419352</c:v>
                </c:pt>
                <c:pt idx="203">
                  <c:v>34.592592592592595</c:v>
                </c:pt>
                <c:pt idx="204">
                  <c:v>34.4375</c:v>
                </c:pt>
                <c:pt idx="205">
                  <c:v>36.172413793103445</c:v>
                </c:pt>
                <c:pt idx="206">
                  <c:v>34.758620689655174</c:v>
                </c:pt>
                <c:pt idx="207">
                  <c:v>37.241379310344826</c:v>
                </c:pt>
                <c:pt idx="208">
                  <c:v>33.9</c:v>
                </c:pt>
                <c:pt idx="209">
                  <c:v>35.4375</c:v>
                </c:pt>
                <c:pt idx="210">
                  <c:v>36.820512820512818</c:v>
                </c:pt>
                <c:pt idx="211">
                  <c:v>31.3125</c:v>
                </c:pt>
                <c:pt idx="212">
                  <c:v>39.064516129032256</c:v>
                </c:pt>
                <c:pt idx="213">
                  <c:v>35.428571428571431</c:v>
                </c:pt>
                <c:pt idx="214">
                  <c:v>34.794117647058826</c:v>
                </c:pt>
                <c:pt idx="215">
                  <c:v>37.032258064516128</c:v>
                </c:pt>
                <c:pt idx="216">
                  <c:v>39.862068965517238</c:v>
                </c:pt>
                <c:pt idx="217">
                  <c:v>36.166666666666664</c:v>
                </c:pt>
                <c:pt idx="218">
                  <c:v>30.40909090909091</c:v>
                </c:pt>
                <c:pt idx="219">
                  <c:v>40</c:v>
                </c:pt>
                <c:pt idx="220">
                  <c:v>31.677419354838708</c:v>
                </c:pt>
                <c:pt idx="221">
                  <c:v>29.791666666666668</c:v>
                </c:pt>
                <c:pt idx="222">
                  <c:v>36.833333333333336</c:v>
                </c:pt>
                <c:pt idx="223">
                  <c:v>33.96875</c:v>
                </c:pt>
                <c:pt idx="224">
                  <c:v>35.864864864864863</c:v>
                </c:pt>
                <c:pt idx="225">
                  <c:v>37.833333333333336</c:v>
                </c:pt>
                <c:pt idx="226">
                  <c:v>36.296296296296298</c:v>
                </c:pt>
                <c:pt idx="227">
                  <c:v>36.375</c:v>
                </c:pt>
                <c:pt idx="228">
                  <c:v>36</c:v>
                </c:pt>
                <c:pt idx="229">
                  <c:v>37.189189189189186</c:v>
                </c:pt>
                <c:pt idx="230">
                  <c:v>34.666666666666664</c:v>
                </c:pt>
                <c:pt idx="231">
                  <c:v>33</c:v>
                </c:pt>
                <c:pt idx="232">
                  <c:v>39.777777777777779</c:v>
                </c:pt>
                <c:pt idx="233">
                  <c:v>33.57692307692308</c:v>
                </c:pt>
                <c:pt idx="234">
                  <c:v>37.208333333333336</c:v>
                </c:pt>
                <c:pt idx="235">
                  <c:v>36.882352941176471</c:v>
                </c:pt>
                <c:pt idx="236">
                  <c:v>37.612903225806448</c:v>
                </c:pt>
                <c:pt idx="237">
                  <c:v>33.357142857142854</c:v>
                </c:pt>
                <c:pt idx="238">
                  <c:v>33.967741935483872</c:v>
                </c:pt>
                <c:pt idx="239">
                  <c:v>36.5</c:v>
                </c:pt>
                <c:pt idx="240">
                  <c:v>35.55263157894737</c:v>
                </c:pt>
                <c:pt idx="241">
                  <c:v>33.051282051282051</c:v>
                </c:pt>
                <c:pt idx="242">
                  <c:v>36.68</c:v>
                </c:pt>
                <c:pt idx="243">
                  <c:v>37.714285714285715</c:v>
                </c:pt>
                <c:pt idx="244">
                  <c:v>36.057142857142857</c:v>
                </c:pt>
                <c:pt idx="245">
                  <c:v>35.828571428571429</c:v>
                </c:pt>
                <c:pt idx="246">
                  <c:v>35.297297297297298</c:v>
                </c:pt>
                <c:pt idx="247">
                  <c:v>33</c:v>
                </c:pt>
                <c:pt idx="248">
                  <c:v>38.958333333333336</c:v>
                </c:pt>
                <c:pt idx="249">
                  <c:v>37.428571428571431</c:v>
                </c:pt>
                <c:pt idx="250">
                  <c:v>36.068965517241381</c:v>
                </c:pt>
                <c:pt idx="251">
                  <c:v>32.235294117647058</c:v>
                </c:pt>
                <c:pt idx="252">
                  <c:v>37.71875</c:v>
                </c:pt>
                <c:pt idx="253">
                  <c:v>31.275862068965516</c:v>
                </c:pt>
                <c:pt idx="254">
                  <c:v>35.857142857142854</c:v>
                </c:pt>
                <c:pt idx="255">
                  <c:v>33.068965517241381</c:v>
                </c:pt>
                <c:pt idx="256">
                  <c:v>34.708333333333336</c:v>
                </c:pt>
                <c:pt idx="257">
                  <c:v>35.357142857142854</c:v>
                </c:pt>
                <c:pt idx="258">
                  <c:v>37.613636363636367</c:v>
                </c:pt>
                <c:pt idx="259">
                  <c:v>33.514285714285712</c:v>
                </c:pt>
                <c:pt idx="260">
                  <c:v>32.131578947368418</c:v>
                </c:pt>
                <c:pt idx="261">
                  <c:v>37.571428571428569</c:v>
                </c:pt>
                <c:pt idx="262">
                  <c:v>31.911764705882351</c:v>
                </c:pt>
                <c:pt idx="263">
                  <c:v>34.03846153846154</c:v>
                </c:pt>
                <c:pt idx="264">
                  <c:v>33.722222222222221</c:v>
                </c:pt>
                <c:pt idx="265">
                  <c:v>31.5625</c:v>
                </c:pt>
                <c:pt idx="266">
                  <c:v>37.24</c:v>
                </c:pt>
                <c:pt idx="267">
                  <c:v>34.9</c:v>
                </c:pt>
                <c:pt idx="268">
                  <c:v>35.413793103448278</c:v>
                </c:pt>
                <c:pt idx="269">
                  <c:v>33.5625</c:v>
                </c:pt>
                <c:pt idx="270">
                  <c:v>32.586206896551722</c:v>
                </c:pt>
                <c:pt idx="271">
                  <c:v>33.030303030303031</c:v>
                </c:pt>
                <c:pt idx="272">
                  <c:v>33.25</c:v>
                </c:pt>
                <c:pt idx="273">
                  <c:v>36.611111111111114</c:v>
                </c:pt>
                <c:pt idx="274">
                  <c:v>36.971428571428568</c:v>
                </c:pt>
                <c:pt idx="275">
                  <c:v>35.64</c:v>
                </c:pt>
                <c:pt idx="276">
                  <c:v>34.454545454545453</c:v>
                </c:pt>
                <c:pt idx="277">
                  <c:v>37.088235294117645</c:v>
                </c:pt>
                <c:pt idx="278">
                  <c:v>27.933333333333334</c:v>
                </c:pt>
                <c:pt idx="279">
                  <c:v>33.884615384615387</c:v>
                </c:pt>
                <c:pt idx="280">
                  <c:v>33.827586206896555</c:v>
                </c:pt>
                <c:pt idx="281">
                  <c:v>31.576923076923077</c:v>
                </c:pt>
                <c:pt idx="282">
                  <c:v>33.270270270270274</c:v>
                </c:pt>
                <c:pt idx="283">
                  <c:v>36.5</c:v>
                </c:pt>
                <c:pt idx="284">
                  <c:v>34.093023255813954</c:v>
                </c:pt>
                <c:pt idx="285">
                  <c:v>39.216216216216218</c:v>
                </c:pt>
                <c:pt idx="286">
                  <c:v>35.676470588235297</c:v>
                </c:pt>
                <c:pt idx="287">
                  <c:v>34.354838709677416</c:v>
                </c:pt>
                <c:pt idx="288">
                  <c:v>38.56</c:v>
                </c:pt>
                <c:pt idx="289">
                  <c:v>28.76923076923077</c:v>
                </c:pt>
                <c:pt idx="290">
                  <c:v>33.571428571428569</c:v>
                </c:pt>
                <c:pt idx="291">
                  <c:v>33.534883720930232</c:v>
                </c:pt>
                <c:pt idx="292">
                  <c:v>39.515151515151516</c:v>
                </c:pt>
                <c:pt idx="293">
                  <c:v>32.714285714285715</c:v>
                </c:pt>
                <c:pt idx="294">
                  <c:v>30.62857142857143</c:v>
                </c:pt>
                <c:pt idx="295">
                  <c:v>36.914285714285711</c:v>
                </c:pt>
                <c:pt idx="296">
                  <c:v>41.064516129032256</c:v>
                </c:pt>
                <c:pt idx="297">
                  <c:v>32.58064516129032</c:v>
                </c:pt>
                <c:pt idx="298">
                  <c:v>31.393939393939394</c:v>
                </c:pt>
                <c:pt idx="299">
                  <c:v>29.363636363636363</c:v>
                </c:pt>
                <c:pt idx="300">
                  <c:v>35.4</c:v>
                </c:pt>
                <c:pt idx="301">
                  <c:v>35.655172413793103</c:v>
                </c:pt>
                <c:pt idx="302">
                  <c:v>40.481481481481481</c:v>
                </c:pt>
                <c:pt idx="303">
                  <c:v>31.193548387096776</c:v>
                </c:pt>
                <c:pt idx="304">
                  <c:v>35.049999999999997</c:v>
                </c:pt>
                <c:pt idx="305">
                  <c:v>35.117647058823529</c:v>
                </c:pt>
                <c:pt idx="306">
                  <c:v>28.916666666666668</c:v>
                </c:pt>
                <c:pt idx="307">
                  <c:v>34.357142857142854</c:v>
                </c:pt>
                <c:pt idx="308">
                  <c:v>29.705882352941178</c:v>
                </c:pt>
                <c:pt idx="309">
                  <c:v>33.176470588235297</c:v>
                </c:pt>
                <c:pt idx="310">
                  <c:v>39.8125</c:v>
                </c:pt>
                <c:pt idx="311">
                  <c:v>36.578947368421055</c:v>
                </c:pt>
                <c:pt idx="312">
                  <c:v>34.5</c:v>
                </c:pt>
                <c:pt idx="313">
                  <c:v>39.764705882352942</c:v>
                </c:pt>
                <c:pt idx="314">
                  <c:v>35.230769230769234</c:v>
                </c:pt>
                <c:pt idx="315">
                  <c:v>41.5</c:v>
                </c:pt>
                <c:pt idx="316">
                  <c:v>38.0625</c:v>
                </c:pt>
                <c:pt idx="317">
                  <c:v>29.222222222222221</c:v>
                </c:pt>
                <c:pt idx="318">
                  <c:v>31</c:v>
                </c:pt>
                <c:pt idx="319">
                  <c:v>37.3125</c:v>
                </c:pt>
                <c:pt idx="320">
                  <c:v>35.647058823529413</c:v>
                </c:pt>
                <c:pt idx="321">
                  <c:v>36.476190476190474</c:v>
                </c:pt>
                <c:pt idx="322">
                  <c:v>40.799999999999997</c:v>
                </c:pt>
                <c:pt idx="323">
                  <c:v>30.318181818181817</c:v>
                </c:pt>
                <c:pt idx="324">
                  <c:v>35.714285714285715</c:v>
                </c:pt>
                <c:pt idx="325">
                  <c:v>33.53846153846154</c:v>
                </c:pt>
                <c:pt idx="326">
                  <c:v>37.5</c:v>
                </c:pt>
                <c:pt idx="327">
                  <c:v>38.058823529411768</c:v>
                </c:pt>
                <c:pt idx="328">
                  <c:v>28.117647058823529</c:v>
                </c:pt>
                <c:pt idx="329">
                  <c:v>31.846153846153847</c:v>
                </c:pt>
                <c:pt idx="330">
                  <c:v>43.636363636363633</c:v>
                </c:pt>
                <c:pt idx="331">
                  <c:v>38.842105263157897</c:v>
                </c:pt>
                <c:pt idx="332">
                  <c:v>29.5625</c:v>
                </c:pt>
                <c:pt idx="333">
                  <c:v>37.466666666666669</c:v>
                </c:pt>
                <c:pt idx="334">
                  <c:v>35.277777777777779</c:v>
                </c:pt>
                <c:pt idx="335">
                  <c:v>34.5</c:v>
                </c:pt>
                <c:pt idx="336">
                  <c:v>35.4</c:v>
                </c:pt>
                <c:pt idx="337">
                  <c:v>34.928571428571431</c:v>
                </c:pt>
                <c:pt idx="338">
                  <c:v>44.25</c:v>
                </c:pt>
                <c:pt idx="339">
                  <c:v>40.1875</c:v>
                </c:pt>
                <c:pt idx="340">
                  <c:v>35</c:v>
                </c:pt>
                <c:pt idx="341">
                  <c:v>43.142857142857146</c:v>
                </c:pt>
                <c:pt idx="342">
                  <c:v>43.6875</c:v>
                </c:pt>
                <c:pt idx="343">
                  <c:v>33.857142857142854</c:v>
                </c:pt>
                <c:pt idx="344">
                  <c:v>40.1875</c:v>
                </c:pt>
                <c:pt idx="345">
                  <c:v>34.9375</c:v>
                </c:pt>
                <c:pt idx="346">
                  <c:v>28.684210526315791</c:v>
                </c:pt>
                <c:pt idx="347">
                  <c:v>25</c:v>
                </c:pt>
                <c:pt idx="348">
                  <c:v>35.46153846153846</c:v>
                </c:pt>
                <c:pt idx="349">
                  <c:v>33.814814814814817</c:v>
                </c:pt>
                <c:pt idx="350">
                  <c:v>33.631578947368418</c:v>
                </c:pt>
                <c:pt idx="351">
                  <c:v>36.611111111111114</c:v>
                </c:pt>
                <c:pt idx="352">
                  <c:v>30.5</c:v>
                </c:pt>
                <c:pt idx="353">
                  <c:v>33.6</c:v>
                </c:pt>
                <c:pt idx="354">
                  <c:v>26.75</c:v>
                </c:pt>
                <c:pt idx="355">
                  <c:v>37.684210526315788</c:v>
                </c:pt>
                <c:pt idx="356">
                  <c:v>36.611111111111114</c:v>
                </c:pt>
                <c:pt idx="357">
                  <c:v>35.428571428571431</c:v>
                </c:pt>
                <c:pt idx="358">
                  <c:v>31.944444444444443</c:v>
                </c:pt>
                <c:pt idx="359">
                  <c:v>31.875</c:v>
                </c:pt>
                <c:pt idx="360">
                  <c:v>28.642857142857142</c:v>
                </c:pt>
                <c:pt idx="361">
                  <c:v>39.214285714285715</c:v>
                </c:pt>
                <c:pt idx="362">
                  <c:v>32.0625</c:v>
                </c:pt>
                <c:pt idx="363">
                  <c:v>28.285714285714285</c:v>
                </c:pt>
                <c:pt idx="364">
                  <c:v>35.476190476190474</c:v>
                </c:pt>
                <c:pt idx="365">
                  <c:v>39.799999999999997</c:v>
                </c:pt>
              </c:numCache>
            </c:numRef>
          </c:val>
          <c:extLst>
            <c:ext xmlns:c16="http://schemas.microsoft.com/office/drawing/2014/chart" uri="{C3380CC4-5D6E-409C-BE32-E72D297353CC}">
              <c16:uniqueId val="{00000000-278A-4DD5-BE75-DC05C2F979AF}"/>
            </c:ext>
          </c:extLst>
        </c:ser>
        <c:dLbls>
          <c:showLegendKey val="0"/>
          <c:showVal val="0"/>
          <c:showCatName val="0"/>
          <c:showSerName val="0"/>
          <c:showPercent val="0"/>
          <c:showBubbleSize val="0"/>
        </c:dLbls>
        <c:axId val="525169888"/>
        <c:axId val="525170368"/>
      </c:areaChart>
      <c:catAx>
        <c:axId val="525169888"/>
        <c:scaling>
          <c:orientation val="minMax"/>
        </c:scaling>
        <c:delete val="1"/>
        <c:axPos val="b"/>
        <c:numFmt formatCode="General" sourceLinked="1"/>
        <c:majorTickMark val="out"/>
        <c:minorTickMark val="none"/>
        <c:tickLblPos val="nextTo"/>
        <c:crossAx val="525170368"/>
        <c:crosses val="autoZero"/>
        <c:auto val="1"/>
        <c:lblAlgn val="ctr"/>
        <c:lblOffset val="100"/>
        <c:noMultiLvlLbl val="0"/>
      </c:catAx>
      <c:valAx>
        <c:axId val="525170368"/>
        <c:scaling>
          <c:orientation val="minMax"/>
        </c:scaling>
        <c:delete val="1"/>
        <c:axPos val="l"/>
        <c:numFmt formatCode="0.00" sourceLinked="1"/>
        <c:majorTickMark val="none"/>
        <c:minorTickMark val="none"/>
        <c:tickLblPos val="nextTo"/>
        <c:crossAx val="52516988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[Hospital_Emergency_Room_Analysis.xlsx.xlsx]Pivot report!PivotTable6</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941670825789097E-2"/>
          <c:y val="2.9312335958005243E-2"/>
          <c:w val="0.9452204409490409"/>
          <c:h val="0.86363254593175842"/>
        </c:manualLayout>
      </c:layout>
      <c:areaChart>
        <c:grouping val="standard"/>
        <c:varyColors val="0"/>
        <c:ser>
          <c:idx val="0"/>
          <c:order val="0"/>
          <c:tx>
            <c:strRef>
              <c:f>'Pivot report'!$N$5</c:f>
              <c:strCache>
                <c:ptCount val="1"/>
                <c:pt idx="0">
                  <c:v>Total</c:v>
                </c:pt>
              </c:strCache>
            </c:strRef>
          </c:tx>
          <c:spPr>
            <a:solidFill>
              <a:schemeClr val="accent1"/>
            </a:solidFill>
            <a:ln>
              <a:noFill/>
            </a:ln>
            <a:effectLst/>
          </c:spPr>
          <c:cat>
            <c:strRef>
              <c:f>'Pivot report'!$M$6:$M$369</c:f>
              <c:strCache>
                <c:ptCount val="363"/>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27-Feb</c:v>
                </c:pt>
                <c:pt idx="57">
                  <c:v>28-Feb</c:v>
                </c:pt>
                <c:pt idx="58">
                  <c:v>29-Feb</c:v>
                </c:pt>
                <c:pt idx="59">
                  <c:v>1-Mar</c:v>
                </c:pt>
                <c:pt idx="60">
                  <c:v>2-Mar</c:v>
                </c:pt>
                <c:pt idx="61">
                  <c:v>3-Mar</c:v>
                </c:pt>
                <c:pt idx="62">
                  <c:v>4-Mar</c:v>
                </c:pt>
                <c:pt idx="63">
                  <c:v>5-Mar</c:v>
                </c:pt>
                <c:pt idx="64">
                  <c:v>6-Mar</c:v>
                </c:pt>
                <c:pt idx="65">
                  <c:v>7-Mar</c:v>
                </c:pt>
                <c:pt idx="66">
                  <c:v>8-Mar</c:v>
                </c:pt>
                <c:pt idx="67">
                  <c:v>9-Mar</c:v>
                </c:pt>
                <c:pt idx="68">
                  <c:v>10-Mar</c:v>
                </c:pt>
                <c:pt idx="69">
                  <c:v>11-Mar</c:v>
                </c:pt>
                <c:pt idx="70">
                  <c:v>12-Mar</c:v>
                </c:pt>
                <c:pt idx="71">
                  <c:v>13-Mar</c:v>
                </c:pt>
                <c:pt idx="72">
                  <c:v>14-Mar</c:v>
                </c:pt>
                <c:pt idx="73">
                  <c:v>15-Mar</c:v>
                </c:pt>
                <c:pt idx="74">
                  <c:v>16-Mar</c:v>
                </c:pt>
                <c:pt idx="75">
                  <c:v>17-Mar</c:v>
                </c:pt>
                <c:pt idx="76">
                  <c:v>18-Mar</c:v>
                </c:pt>
                <c:pt idx="77">
                  <c:v>19-Mar</c:v>
                </c:pt>
                <c:pt idx="78">
                  <c:v>20-Mar</c:v>
                </c:pt>
                <c:pt idx="79">
                  <c:v>21-Mar</c:v>
                </c:pt>
                <c:pt idx="80">
                  <c:v>22-Mar</c:v>
                </c:pt>
                <c:pt idx="81">
                  <c:v>23-Mar</c:v>
                </c:pt>
                <c:pt idx="82">
                  <c:v>24-Mar</c:v>
                </c:pt>
                <c:pt idx="83">
                  <c:v>25-Mar</c:v>
                </c:pt>
                <c:pt idx="84">
                  <c:v>26-Mar</c:v>
                </c:pt>
                <c:pt idx="85">
                  <c:v>27-Mar</c:v>
                </c:pt>
                <c:pt idx="86">
                  <c:v>28-Mar</c:v>
                </c:pt>
                <c:pt idx="87">
                  <c:v>29-Mar</c:v>
                </c:pt>
                <c:pt idx="88">
                  <c:v>30-Mar</c:v>
                </c:pt>
                <c:pt idx="89">
                  <c:v>31-Mar</c:v>
                </c:pt>
                <c:pt idx="90">
                  <c:v>1-Apr</c:v>
                </c:pt>
                <c:pt idx="91">
                  <c:v>2-Apr</c:v>
                </c:pt>
                <c:pt idx="92">
                  <c:v>3-Apr</c:v>
                </c:pt>
                <c:pt idx="93">
                  <c:v>4-Apr</c:v>
                </c:pt>
                <c:pt idx="94">
                  <c:v>5-Apr</c:v>
                </c:pt>
                <c:pt idx="95">
                  <c:v>6-Apr</c:v>
                </c:pt>
                <c:pt idx="96">
                  <c:v>7-Apr</c:v>
                </c:pt>
                <c:pt idx="97">
                  <c:v>8-Apr</c:v>
                </c:pt>
                <c:pt idx="98">
                  <c:v>9-Apr</c:v>
                </c:pt>
                <c:pt idx="99">
                  <c:v>10-Apr</c:v>
                </c:pt>
                <c:pt idx="100">
                  <c:v>11-Apr</c:v>
                </c:pt>
                <c:pt idx="101">
                  <c:v>12-Apr</c:v>
                </c:pt>
                <c:pt idx="102">
                  <c:v>13-Apr</c:v>
                </c:pt>
                <c:pt idx="103">
                  <c:v>14-Apr</c:v>
                </c:pt>
                <c:pt idx="104">
                  <c:v>15-Apr</c:v>
                </c:pt>
                <c:pt idx="105">
                  <c:v>16-Apr</c:v>
                </c:pt>
                <c:pt idx="106">
                  <c:v>17-Apr</c:v>
                </c:pt>
                <c:pt idx="107">
                  <c:v>18-Apr</c:v>
                </c:pt>
                <c:pt idx="108">
                  <c:v>19-Apr</c:v>
                </c:pt>
                <c:pt idx="109">
                  <c:v>20-Apr</c:v>
                </c:pt>
                <c:pt idx="110">
                  <c:v>21-Apr</c:v>
                </c:pt>
                <c:pt idx="111">
                  <c:v>22-Apr</c:v>
                </c:pt>
                <c:pt idx="112">
                  <c:v>23-Apr</c:v>
                </c:pt>
                <c:pt idx="113">
                  <c:v>24-Apr</c:v>
                </c:pt>
                <c:pt idx="114">
                  <c:v>25-Apr</c:v>
                </c:pt>
                <c:pt idx="115">
                  <c:v>26-Apr</c:v>
                </c:pt>
                <c:pt idx="116">
                  <c:v>27-Apr</c:v>
                </c:pt>
                <c:pt idx="117">
                  <c:v>28-Apr</c:v>
                </c:pt>
                <c:pt idx="118">
                  <c:v>29-Apr</c:v>
                </c:pt>
                <c:pt idx="119">
                  <c:v>30-Apr</c:v>
                </c:pt>
                <c:pt idx="120">
                  <c:v>1-May</c:v>
                </c:pt>
                <c:pt idx="121">
                  <c:v>2-May</c:v>
                </c:pt>
                <c:pt idx="122">
                  <c:v>3-May</c:v>
                </c:pt>
                <c:pt idx="123">
                  <c:v>4-May</c:v>
                </c:pt>
                <c:pt idx="124">
                  <c:v>5-May</c:v>
                </c:pt>
                <c:pt idx="125">
                  <c:v>6-May</c:v>
                </c:pt>
                <c:pt idx="126">
                  <c:v>7-May</c:v>
                </c:pt>
                <c:pt idx="127">
                  <c:v>8-May</c:v>
                </c:pt>
                <c:pt idx="128">
                  <c:v>9-May</c:v>
                </c:pt>
                <c:pt idx="129">
                  <c:v>10-May</c:v>
                </c:pt>
                <c:pt idx="130">
                  <c:v>11-May</c:v>
                </c:pt>
                <c:pt idx="131">
                  <c:v>12-May</c:v>
                </c:pt>
                <c:pt idx="132">
                  <c:v>13-May</c:v>
                </c:pt>
                <c:pt idx="133">
                  <c:v>14-May</c:v>
                </c:pt>
                <c:pt idx="134">
                  <c:v>15-May</c:v>
                </c:pt>
                <c:pt idx="135">
                  <c:v>16-May</c:v>
                </c:pt>
                <c:pt idx="136">
                  <c:v>17-May</c:v>
                </c:pt>
                <c:pt idx="137">
                  <c:v>18-May</c:v>
                </c:pt>
                <c:pt idx="138">
                  <c:v>19-May</c:v>
                </c:pt>
                <c:pt idx="139">
                  <c:v>20-May</c:v>
                </c:pt>
                <c:pt idx="140">
                  <c:v>21-May</c:v>
                </c:pt>
                <c:pt idx="141">
                  <c:v>22-May</c:v>
                </c:pt>
                <c:pt idx="142">
                  <c:v>23-May</c:v>
                </c:pt>
                <c:pt idx="143">
                  <c:v>24-May</c:v>
                </c:pt>
                <c:pt idx="144">
                  <c:v>25-May</c:v>
                </c:pt>
                <c:pt idx="145">
                  <c:v>26-May</c:v>
                </c:pt>
                <c:pt idx="146">
                  <c:v>27-May</c:v>
                </c:pt>
                <c:pt idx="147">
                  <c:v>28-May</c:v>
                </c:pt>
                <c:pt idx="148">
                  <c:v>29-May</c:v>
                </c:pt>
                <c:pt idx="149">
                  <c:v>30-May</c:v>
                </c:pt>
                <c:pt idx="150">
                  <c:v>31-May</c:v>
                </c:pt>
                <c:pt idx="151">
                  <c:v>1-Jun</c:v>
                </c:pt>
                <c:pt idx="152">
                  <c:v>2-Jun</c:v>
                </c:pt>
                <c:pt idx="153">
                  <c:v>3-Jun</c:v>
                </c:pt>
                <c:pt idx="154">
                  <c:v>4-Jun</c:v>
                </c:pt>
                <c:pt idx="155">
                  <c:v>5-Jun</c:v>
                </c:pt>
                <c:pt idx="156">
                  <c:v>6-Jun</c:v>
                </c:pt>
                <c:pt idx="157">
                  <c:v>7-Jun</c:v>
                </c:pt>
                <c:pt idx="158">
                  <c:v>8-Jun</c:v>
                </c:pt>
                <c:pt idx="159">
                  <c:v>9-Jun</c:v>
                </c:pt>
                <c:pt idx="160">
                  <c:v>10-Jun</c:v>
                </c:pt>
                <c:pt idx="161">
                  <c:v>11-Jun</c:v>
                </c:pt>
                <c:pt idx="162">
                  <c:v>12-Jun</c:v>
                </c:pt>
                <c:pt idx="163">
                  <c:v>13-Jun</c:v>
                </c:pt>
                <c:pt idx="164">
                  <c:v>14-Jun</c:v>
                </c:pt>
                <c:pt idx="165">
                  <c:v>15-Jun</c:v>
                </c:pt>
                <c:pt idx="166">
                  <c:v>16-Jun</c:v>
                </c:pt>
                <c:pt idx="167">
                  <c:v>17-Jun</c:v>
                </c:pt>
                <c:pt idx="168">
                  <c:v>18-Jun</c:v>
                </c:pt>
                <c:pt idx="169">
                  <c:v>19-Jun</c:v>
                </c:pt>
                <c:pt idx="170">
                  <c:v>20-Jun</c:v>
                </c:pt>
                <c:pt idx="171">
                  <c:v>21-Jun</c:v>
                </c:pt>
                <c:pt idx="172">
                  <c:v>22-Jun</c:v>
                </c:pt>
                <c:pt idx="173">
                  <c:v>23-Jun</c:v>
                </c:pt>
                <c:pt idx="174">
                  <c:v>24-Jun</c:v>
                </c:pt>
                <c:pt idx="175">
                  <c:v>25-Jun</c:v>
                </c:pt>
                <c:pt idx="176">
                  <c:v>26-Jun</c:v>
                </c:pt>
                <c:pt idx="177">
                  <c:v>27-Jun</c:v>
                </c:pt>
                <c:pt idx="178">
                  <c:v>28-Jun</c:v>
                </c:pt>
                <c:pt idx="179">
                  <c:v>29-Jun</c:v>
                </c:pt>
                <c:pt idx="180">
                  <c:v>30-Jun</c:v>
                </c:pt>
                <c:pt idx="181">
                  <c:v>1-Jul</c:v>
                </c:pt>
                <c:pt idx="182">
                  <c:v>2-Jul</c:v>
                </c:pt>
                <c:pt idx="183">
                  <c:v>3-Jul</c:v>
                </c:pt>
                <c:pt idx="184">
                  <c:v>4-Jul</c:v>
                </c:pt>
                <c:pt idx="185">
                  <c:v>5-Jul</c:v>
                </c:pt>
                <c:pt idx="186">
                  <c:v>6-Jul</c:v>
                </c:pt>
                <c:pt idx="187">
                  <c:v>7-Jul</c:v>
                </c:pt>
                <c:pt idx="188">
                  <c:v>8-Jul</c:v>
                </c:pt>
                <c:pt idx="189">
                  <c:v>9-Jul</c:v>
                </c:pt>
                <c:pt idx="190">
                  <c:v>10-Jul</c:v>
                </c:pt>
                <c:pt idx="191">
                  <c:v>11-Jul</c:v>
                </c:pt>
                <c:pt idx="192">
                  <c:v>12-Jul</c:v>
                </c:pt>
                <c:pt idx="193">
                  <c:v>13-Jul</c:v>
                </c:pt>
                <c:pt idx="194">
                  <c:v>14-Jul</c:v>
                </c:pt>
                <c:pt idx="195">
                  <c:v>15-Jul</c:v>
                </c:pt>
                <c:pt idx="196">
                  <c:v>16-Jul</c:v>
                </c:pt>
                <c:pt idx="197">
                  <c:v>17-Jul</c:v>
                </c:pt>
                <c:pt idx="198">
                  <c:v>18-Jul</c:v>
                </c:pt>
                <c:pt idx="199">
                  <c:v>19-Jul</c:v>
                </c:pt>
                <c:pt idx="200">
                  <c:v>20-Jul</c:v>
                </c:pt>
                <c:pt idx="201">
                  <c:v>21-Jul</c:v>
                </c:pt>
                <c:pt idx="202">
                  <c:v>22-Jul</c:v>
                </c:pt>
                <c:pt idx="203">
                  <c:v>23-Jul</c:v>
                </c:pt>
                <c:pt idx="204">
                  <c:v>24-Jul</c:v>
                </c:pt>
                <c:pt idx="205">
                  <c:v>25-Jul</c:v>
                </c:pt>
                <c:pt idx="206">
                  <c:v>26-Jul</c:v>
                </c:pt>
                <c:pt idx="207">
                  <c:v>27-Jul</c:v>
                </c:pt>
                <c:pt idx="208">
                  <c:v>28-Jul</c:v>
                </c:pt>
                <c:pt idx="209">
                  <c:v>29-Jul</c:v>
                </c:pt>
                <c:pt idx="210">
                  <c:v>30-Jul</c:v>
                </c:pt>
                <c:pt idx="211">
                  <c:v>31-Jul</c:v>
                </c:pt>
                <c:pt idx="212">
                  <c:v>1-Aug</c:v>
                </c:pt>
                <c:pt idx="213">
                  <c:v>2-Aug</c:v>
                </c:pt>
                <c:pt idx="214">
                  <c:v>3-Aug</c:v>
                </c:pt>
                <c:pt idx="215">
                  <c:v>4-Aug</c:v>
                </c:pt>
                <c:pt idx="216">
                  <c:v>5-Aug</c:v>
                </c:pt>
                <c:pt idx="217">
                  <c:v>6-Aug</c:v>
                </c:pt>
                <c:pt idx="218">
                  <c:v>7-Aug</c:v>
                </c:pt>
                <c:pt idx="219">
                  <c:v>8-Aug</c:v>
                </c:pt>
                <c:pt idx="220">
                  <c:v>9-Aug</c:v>
                </c:pt>
                <c:pt idx="221">
                  <c:v>10-Aug</c:v>
                </c:pt>
                <c:pt idx="222">
                  <c:v>11-Aug</c:v>
                </c:pt>
                <c:pt idx="223">
                  <c:v>12-Aug</c:v>
                </c:pt>
                <c:pt idx="224">
                  <c:v>13-Aug</c:v>
                </c:pt>
                <c:pt idx="225">
                  <c:v>14-Aug</c:v>
                </c:pt>
                <c:pt idx="226">
                  <c:v>15-Aug</c:v>
                </c:pt>
                <c:pt idx="227">
                  <c:v>16-Aug</c:v>
                </c:pt>
                <c:pt idx="228">
                  <c:v>17-Aug</c:v>
                </c:pt>
                <c:pt idx="229">
                  <c:v>18-Aug</c:v>
                </c:pt>
                <c:pt idx="230">
                  <c:v>19-Aug</c:v>
                </c:pt>
                <c:pt idx="231">
                  <c:v>20-Aug</c:v>
                </c:pt>
                <c:pt idx="232">
                  <c:v>21-Aug</c:v>
                </c:pt>
                <c:pt idx="233">
                  <c:v>22-Aug</c:v>
                </c:pt>
                <c:pt idx="234">
                  <c:v>23-Aug</c:v>
                </c:pt>
                <c:pt idx="235">
                  <c:v>24-Aug</c:v>
                </c:pt>
                <c:pt idx="236">
                  <c:v>25-Aug</c:v>
                </c:pt>
                <c:pt idx="237">
                  <c:v>26-Aug</c:v>
                </c:pt>
                <c:pt idx="238">
                  <c:v>27-Aug</c:v>
                </c:pt>
                <c:pt idx="239">
                  <c:v>28-Aug</c:v>
                </c:pt>
                <c:pt idx="240">
                  <c:v>29-Aug</c:v>
                </c:pt>
                <c:pt idx="241">
                  <c:v>30-Aug</c:v>
                </c:pt>
                <c:pt idx="242">
                  <c:v>31-Aug</c:v>
                </c:pt>
                <c:pt idx="243">
                  <c:v>1-Sep</c:v>
                </c:pt>
                <c:pt idx="244">
                  <c:v>2-Sep</c:v>
                </c:pt>
                <c:pt idx="245">
                  <c:v>3-Sep</c:v>
                </c:pt>
                <c:pt idx="246">
                  <c:v>4-Sep</c:v>
                </c:pt>
                <c:pt idx="247">
                  <c:v>5-Sep</c:v>
                </c:pt>
                <c:pt idx="248">
                  <c:v>6-Sep</c:v>
                </c:pt>
                <c:pt idx="249">
                  <c:v>7-Sep</c:v>
                </c:pt>
                <c:pt idx="250">
                  <c:v>8-Sep</c:v>
                </c:pt>
                <c:pt idx="251">
                  <c:v>9-Sep</c:v>
                </c:pt>
                <c:pt idx="252">
                  <c:v>10-Sep</c:v>
                </c:pt>
                <c:pt idx="253">
                  <c:v>11-Sep</c:v>
                </c:pt>
                <c:pt idx="254">
                  <c:v>12-Sep</c:v>
                </c:pt>
                <c:pt idx="255">
                  <c:v>13-Sep</c:v>
                </c:pt>
                <c:pt idx="256">
                  <c:v>14-Sep</c:v>
                </c:pt>
                <c:pt idx="257">
                  <c:v>15-Sep</c:v>
                </c:pt>
                <c:pt idx="258">
                  <c:v>16-Sep</c:v>
                </c:pt>
                <c:pt idx="259">
                  <c:v>17-Sep</c:v>
                </c:pt>
                <c:pt idx="260">
                  <c:v>18-Sep</c:v>
                </c:pt>
                <c:pt idx="261">
                  <c:v>19-Sep</c:v>
                </c:pt>
                <c:pt idx="262">
                  <c:v>20-Sep</c:v>
                </c:pt>
                <c:pt idx="263">
                  <c:v>21-Sep</c:v>
                </c:pt>
                <c:pt idx="264">
                  <c:v>22-Sep</c:v>
                </c:pt>
                <c:pt idx="265">
                  <c:v>23-Sep</c:v>
                </c:pt>
                <c:pt idx="266">
                  <c:v>24-Sep</c:v>
                </c:pt>
                <c:pt idx="267">
                  <c:v>25-Sep</c:v>
                </c:pt>
                <c:pt idx="268">
                  <c:v>26-Sep</c:v>
                </c:pt>
                <c:pt idx="269">
                  <c:v>27-Sep</c:v>
                </c:pt>
                <c:pt idx="270">
                  <c:v>28-Sep</c:v>
                </c:pt>
                <c:pt idx="271">
                  <c:v>29-Sep</c:v>
                </c:pt>
                <c:pt idx="272">
                  <c:v>30-Sep</c:v>
                </c:pt>
                <c:pt idx="273">
                  <c:v>1-Oct</c:v>
                </c:pt>
                <c:pt idx="274">
                  <c:v>2-Oct</c:v>
                </c:pt>
                <c:pt idx="275">
                  <c:v>3-Oct</c:v>
                </c:pt>
                <c:pt idx="276">
                  <c:v>4-Oct</c:v>
                </c:pt>
                <c:pt idx="277">
                  <c:v>5-Oct</c:v>
                </c:pt>
                <c:pt idx="278">
                  <c:v>6-Oct</c:v>
                </c:pt>
                <c:pt idx="279">
                  <c:v>7-Oct</c:v>
                </c:pt>
                <c:pt idx="280">
                  <c:v>8-Oct</c:v>
                </c:pt>
                <c:pt idx="281">
                  <c:v>9-Oct</c:v>
                </c:pt>
                <c:pt idx="282">
                  <c:v>10-Oct</c:v>
                </c:pt>
                <c:pt idx="283">
                  <c:v>11-Oct</c:v>
                </c:pt>
                <c:pt idx="284">
                  <c:v>12-Oct</c:v>
                </c:pt>
                <c:pt idx="285">
                  <c:v>13-Oct</c:v>
                </c:pt>
                <c:pt idx="286">
                  <c:v>14-Oct</c:v>
                </c:pt>
                <c:pt idx="287">
                  <c:v>15-Oct</c:v>
                </c:pt>
                <c:pt idx="288">
                  <c:v>16-Oct</c:v>
                </c:pt>
                <c:pt idx="289">
                  <c:v>17-Oct</c:v>
                </c:pt>
                <c:pt idx="290">
                  <c:v>18-Oct</c:v>
                </c:pt>
                <c:pt idx="291">
                  <c:v>19-Oct</c:v>
                </c:pt>
                <c:pt idx="292">
                  <c:v>20-Oct</c:v>
                </c:pt>
                <c:pt idx="293">
                  <c:v>21-Oct</c:v>
                </c:pt>
                <c:pt idx="294">
                  <c:v>22-Oct</c:v>
                </c:pt>
                <c:pt idx="295">
                  <c:v>23-Oct</c:v>
                </c:pt>
                <c:pt idx="296">
                  <c:v>24-Oct</c:v>
                </c:pt>
                <c:pt idx="297">
                  <c:v>25-Oct</c:v>
                </c:pt>
                <c:pt idx="298">
                  <c:v>26-Oct</c:v>
                </c:pt>
                <c:pt idx="299">
                  <c:v>27-Oct</c:v>
                </c:pt>
                <c:pt idx="300">
                  <c:v>28-Oct</c:v>
                </c:pt>
                <c:pt idx="301">
                  <c:v>29-Oct</c:v>
                </c:pt>
                <c:pt idx="302">
                  <c:v>30-Oct</c:v>
                </c:pt>
                <c:pt idx="303">
                  <c:v>31-Oct</c:v>
                </c:pt>
                <c:pt idx="304">
                  <c:v>1-Nov</c:v>
                </c:pt>
                <c:pt idx="305">
                  <c:v>2-Nov</c:v>
                </c:pt>
                <c:pt idx="306">
                  <c:v>3-Nov</c:v>
                </c:pt>
                <c:pt idx="307">
                  <c:v>4-Nov</c:v>
                </c:pt>
                <c:pt idx="308">
                  <c:v>5-Nov</c:v>
                </c:pt>
                <c:pt idx="309">
                  <c:v>6-Nov</c:v>
                </c:pt>
                <c:pt idx="310">
                  <c:v>7-Nov</c:v>
                </c:pt>
                <c:pt idx="311">
                  <c:v>8-Nov</c:v>
                </c:pt>
                <c:pt idx="312">
                  <c:v>9-Nov</c:v>
                </c:pt>
                <c:pt idx="313">
                  <c:v>10-Nov</c:v>
                </c:pt>
                <c:pt idx="314">
                  <c:v>11-Nov</c:v>
                </c:pt>
                <c:pt idx="315">
                  <c:v>12-Nov</c:v>
                </c:pt>
                <c:pt idx="316">
                  <c:v>13-Nov</c:v>
                </c:pt>
                <c:pt idx="317">
                  <c:v>14-Nov</c:v>
                </c:pt>
                <c:pt idx="318">
                  <c:v>15-Nov</c:v>
                </c:pt>
                <c:pt idx="319">
                  <c:v>16-Nov</c:v>
                </c:pt>
                <c:pt idx="320">
                  <c:v>17-Nov</c:v>
                </c:pt>
                <c:pt idx="321">
                  <c:v>18-Nov</c:v>
                </c:pt>
                <c:pt idx="322">
                  <c:v>19-Nov</c:v>
                </c:pt>
                <c:pt idx="323">
                  <c:v>20-Nov</c:v>
                </c:pt>
                <c:pt idx="324">
                  <c:v>21-Nov</c:v>
                </c:pt>
                <c:pt idx="325">
                  <c:v>22-Nov</c:v>
                </c:pt>
                <c:pt idx="326">
                  <c:v>23-Nov</c:v>
                </c:pt>
                <c:pt idx="327">
                  <c:v>24-Nov</c:v>
                </c:pt>
                <c:pt idx="328">
                  <c:v>25-Nov</c:v>
                </c:pt>
                <c:pt idx="329">
                  <c:v>26-Nov</c:v>
                </c:pt>
                <c:pt idx="330">
                  <c:v>27-Nov</c:v>
                </c:pt>
                <c:pt idx="331">
                  <c:v>28-Nov</c:v>
                </c:pt>
                <c:pt idx="332">
                  <c:v>29-Nov</c:v>
                </c:pt>
                <c:pt idx="333">
                  <c:v>30-Nov</c:v>
                </c:pt>
                <c:pt idx="334">
                  <c:v>1-Dec</c:v>
                </c:pt>
                <c:pt idx="335">
                  <c:v>2-Dec</c:v>
                </c:pt>
                <c:pt idx="336">
                  <c:v>3-Dec</c:v>
                </c:pt>
                <c:pt idx="337">
                  <c:v>4-Dec</c:v>
                </c:pt>
                <c:pt idx="338">
                  <c:v>5-Dec</c:v>
                </c:pt>
                <c:pt idx="339">
                  <c:v>6-Dec</c:v>
                </c:pt>
                <c:pt idx="340">
                  <c:v>8-Dec</c:v>
                </c:pt>
                <c:pt idx="341">
                  <c:v>9-Dec</c:v>
                </c:pt>
                <c:pt idx="342">
                  <c:v>10-Dec</c:v>
                </c:pt>
                <c:pt idx="343">
                  <c:v>11-Dec</c:v>
                </c:pt>
                <c:pt idx="344">
                  <c:v>12-Dec</c:v>
                </c:pt>
                <c:pt idx="345">
                  <c:v>13-Dec</c:v>
                </c:pt>
                <c:pt idx="346">
                  <c:v>14-Dec</c:v>
                </c:pt>
                <c:pt idx="347">
                  <c:v>15-Dec</c:v>
                </c:pt>
                <c:pt idx="348">
                  <c:v>16-Dec</c:v>
                </c:pt>
                <c:pt idx="349">
                  <c:v>17-Dec</c:v>
                </c:pt>
                <c:pt idx="350">
                  <c:v>18-Dec</c:v>
                </c:pt>
                <c:pt idx="351">
                  <c:v>19-Dec</c:v>
                </c:pt>
                <c:pt idx="352">
                  <c:v>20-Dec</c:v>
                </c:pt>
                <c:pt idx="353">
                  <c:v>21-Dec</c:v>
                </c:pt>
                <c:pt idx="354">
                  <c:v>22-Dec</c:v>
                </c:pt>
                <c:pt idx="355">
                  <c:v>23-Dec</c:v>
                </c:pt>
                <c:pt idx="356">
                  <c:v>24-Dec</c:v>
                </c:pt>
                <c:pt idx="357">
                  <c:v>25-Dec</c:v>
                </c:pt>
                <c:pt idx="358">
                  <c:v>26-Dec</c:v>
                </c:pt>
                <c:pt idx="359">
                  <c:v>27-Dec</c:v>
                </c:pt>
                <c:pt idx="360">
                  <c:v>28-Dec</c:v>
                </c:pt>
                <c:pt idx="361">
                  <c:v>29-Dec</c:v>
                </c:pt>
                <c:pt idx="362">
                  <c:v>30-Dec</c:v>
                </c:pt>
              </c:strCache>
            </c:strRef>
          </c:cat>
          <c:val>
            <c:numRef>
              <c:f>'Pivot report'!$N$6:$N$369</c:f>
              <c:numCache>
                <c:formatCode>0</c:formatCode>
                <c:ptCount val="363"/>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pt idx="31">
                  <c:v>4.166666666666667</c:v>
                </c:pt>
                <c:pt idx="32">
                  <c:v>5.75</c:v>
                </c:pt>
                <c:pt idx="33">
                  <c:v>4.75</c:v>
                </c:pt>
                <c:pt idx="34">
                  <c:v>7</c:v>
                </c:pt>
                <c:pt idx="35">
                  <c:v>3.1428571428571428</c:v>
                </c:pt>
                <c:pt idx="36">
                  <c:v>8</c:v>
                </c:pt>
                <c:pt idx="37">
                  <c:v>5.25</c:v>
                </c:pt>
                <c:pt idx="38">
                  <c:v>4.5714285714285712</c:v>
                </c:pt>
                <c:pt idx="39">
                  <c:v>2.75</c:v>
                </c:pt>
                <c:pt idx="40">
                  <c:v>4.5</c:v>
                </c:pt>
                <c:pt idx="41">
                  <c:v>5.5</c:v>
                </c:pt>
                <c:pt idx="42">
                  <c:v>5.6</c:v>
                </c:pt>
                <c:pt idx="43">
                  <c:v>5.75</c:v>
                </c:pt>
                <c:pt idx="44">
                  <c:v>3.4444444444444446</c:v>
                </c:pt>
                <c:pt idx="45">
                  <c:v>1.5</c:v>
                </c:pt>
                <c:pt idx="46">
                  <c:v>3.6666666666666665</c:v>
                </c:pt>
                <c:pt idx="47">
                  <c:v>4.4285714285714288</c:v>
                </c:pt>
                <c:pt idx="48">
                  <c:v>6</c:v>
                </c:pt>
                <c:pt idx="49">
                  <c:v>2.6666666666666665</c:v>
                </c:pt>
                <c:pt idx="50">
                  <c:v>7.5</c:v>
                </c:pt>
                <c:pt idx="51">
                  <c:v>4.5</c:v>
                </c:pt>
                <c:pt idx="52">
                  <c:v>8</c:v>
                </c:pt>
                <c:pt idx="53">
                  <c:v>4.3636363636363633</c:v>
                </c:pt>
                <c:pt idx="54">
                  <c:v>0</c:v>
                </c:pt>
                <c:pt idx="55">
                  <c:v>10</c:v>
                </c:pt>
                <c:pt idx="56">
                  <c:v>6.75</c:v>
                </c:pt>
                <c:pt idx="57">
                  <c:v>7</c:v>
                </c:pt>
                <c:pt idx="58">
                  <c:v>3.3333333333333335</c:v>
                </c:pt>
                <c:pt idx="59">
                  <c:v>7.2</c:v>
                </c:pt>
                <c:pt idx="60">
                  <c:v>6</c:v>
                </c:pt>
                <c:pt idx="61">
                  <c:v>1.5</c:v>
                </c:pt>
                <c:pt idx="62">
                  <c:v>2.75</c:v>
                </c:pt>
                <c:pt idx="63">
                  <c:v>5</c:v>
                </c:pt>
                <c:pt idx="64">
                  <c:v>5.5</c:v>
                </c:pt>
                <c:pt idx="65">
                  <c:v>5.0909090909090908</c:v>
                </c:pt>
                <c:pt idx="66">
                  <c:v>7.666666666666667</c:v>
                </c:pt>
                <c:pt idx="67">
                  <c:v>3.5</c:v>
                </c:pt>
                <c:pt idx="68">
                  <c:v>3.6666666666666665</c:v>
                </c:pt>
                <c:pt idx="69">
                  <c:v>3.8</c:v>
                </c:pt>
                <c:pt idx="70">
                  <c:v>1</c:v>
                </c:pt>
                <c:pt idx="71">
                  <c:v>7</c:v>
                </c:pt>
                <c:pt idx="72">
                  <c:v>5</c:v>
                </c:pt>
                <c:pt idx="73">
                  <c:v>4.25</c:v>
                </c:pt>
                <c:pt idx="74">
                  <c:v>4</c:v>
                </c:pt>
                <c:pt idx="75">
                  <c:v>7.333333333333333</c:v>
                </c:pt>
                <c:pt idx="76">
                  <c:v>9</c:v>
                </c:pt>
                <c:pt idx="77">
                  <c:v>5.25</c:v>
                </c:pt>
                <c:pt idx="78">
                  <c:v>6.6</c:v>
                </c:pt>
                <c:pt idx="79">
                  <c:v>6.25</c:v>
                </c:pt>
                <c:pt idx="80">
                  <c:v>6.333333333333333</c:v>
                </c:pt>
                <c:pt idx="81">
                  <c:v>7</c:v>
                </c:pt>
                <c:pt idx="82">
                  <c:v>5.666666666666667</c:v>
                </c:pt>
                <c:pt idx="83">
                  <c:v>3.3333333333333335</c:v>
                </c:pt>
                <c:pt idx="84">
                  <c:v>4.75</c:v>
                </c:pt>
                <c:pt idx="85">
                  <c:v>2</c:v>
                </c:pt>
                <c:pt idx="86">
                  <c:v>9.25</c:v>
                </c:pt>
                <c:pt idx="87">
                  <c:v>2.6666666666666665</c:v>
                </c:pt>
                <c:pt idx="88">
                  <c:v>4</c:v>
                </c:pt>
                <c:pt idx="89">
                  <c:v>8.75</c:v>
                </c:pt>
                <c:pt idx="90">
                  <c:v>3.8</c:v>
                </c:pt>
                <c:pt idx="91">
                  <c:v>6</c:v>
                </c:pt>
                <c:pt idx="92">
                  <c:v>4.5999999999999996</c:v>
                </c:pt>
                <c:pt idx="93">
                  <c:v>5.7142857142857144</c:v>
                </c:pt>
                <c:pt idx="94">
                  <c:v>4.666666666666667</c:v>
                </c:pt>
                <c:pt idx="95">
                  <c:v>3.4</c:v>
                </c:pt>
                <c:pt idx="96">
                  <c:v>5</c:v>
                </c:pt>
                <c:pt idx="97">
                  <c:v>5.8571428571428568</c:v>
                </c:pt>
                <c:pt idx="98">
                  <c:v>4.8888888888888893</c:v>
                </c:pt>
                <c:pt idx="99">
                  <c:v>6</c:v>
                </c:pt>
                <c:pt idx="100">
                  <c:v>4.7142857142857144</c:v>
                </c:pt>
                <c:pt idx="101">
                  <c:v>7.1428571428571432</c:v>
                </c:pt>
                <c:pt idx="102">
                  <c:v>4.333333333333333</c:v>
                </c:pt>
                <c:pt idx="103">
                  <c:v>6.7333333333333334</c:v>
                </c:pt>
                <c:pt idx="104">
                  <c:v>5.2857142857142856</c:v>
                </c:pt>
                <c:pt idx="105">
                  <c:v>4.916666666666667</c:v>
                </c:pt>
                <c:pt idx="106">
                  <c:v>4.333333333333333</c:v>
                </c:pt>
                <c:pt idx="107">
                  <c:v>5.333333333333333</c:v>
                </c:pt>
                <c:pt idx="108">
                  <c:v>4.3636363636363633</c:v>
                </c:pt>
                <c:pt idx="109">
                  <c:v>2.9090909090909092</c:v>
                </c:pt>
                <c:pt idx="110">
                  <c:v>4.5</c:v>
                </c:pt>
                <c:pt idx="111">
                  <c:v>6.1</c:v>
                </c:pt>
                <c:pt idx="112">
                  <c:v>6.666666666666667</c:v>
                </c:pt>
                <c:pt idx="113">
                  <c:v>5</c:v>
                </c:pt>
                <c:pt idx="114">
                  <c:v>2.5555555555555554</c:v>
                </c:pt>
                <c:pt idx="115">
                  <c:v>5.5714285714285712</c:v>
                </c:pt>
                <c:pt idx="116">
                  <c:v>4.8461538461538458</c:v>
                </c:pt>
                <c:pt idx="117">
                  <c:v>4.8888888888888893</c:v>
                </c:pt>
                <c:pt idx="118">
                  <c:v>4.8</c:v>
                </c:pt>
                <c:pt idx="119">
                  <c:v>5.375</c:v>
                </c:pt>
                <c:pt idx="120">
                  <c:v>6.8571428571428568</c:v>
                </c:pt>
                <c:pt idx="121">
                  <c:v>4.3636363636363633</c:v>
                </c:pt>
                <c:pt idx="122">
                  <c:v>6.416666666666667</c:v>
                </c:pt>
                <c:pt idx="123">
                  <c:v>5.5384615384615383</c:v>
                </c:pt>
                <c:pt idx="124">
                  <c:v>5</c:v>
                </c:pt>
                <c:pt idx="125">
                  <c:v>4.9090909090909092</c:v>
                </c:pt>
                <c:pt idx="126">
                  <c:v>3.3</c:v>
                </c:pt>
                <c:pt idx="127">
                  <c:v>4.7</c:v>
                </c:pt>
                <c:pt idx="128">
                  <c:v>4.666666666666667</c:v>
                </c:pt>
                <c:pt idx="129">
                  <c:v>4.875</c:v>
                </c:pt>
                <c:pt idx="130">
                  <c:v>5.333333333333333</c:v>
                </c:pt>
                <c:pt idx="131">
                  <c:v>4.125</c:v>
                </c:pt>
                <c:pt idx="132">
                  <c:v>6</c:v>
                </c:pt>
                <c:pt idx="133">
                  <c:v>4.3</c:v>
                </c:pt>
                <c:pt idx="134">
                  <c:v>4.2</c:v>
                </c:pt>
                <c:pt idx="135">
                  <c:v>6.8666666666666663</c:v>
                </c:pt>
                <c:pt idx="136">
                  <c:v>6.2857142857142856</c:v>
                </c:pt>
                <c:pt idx="137">
                  <c:v>4.0909090909090908</c:v>
                </c:pt>
                <c:pt idx="138">
                  <c:v>4</c:v>
                </c:pt>
                <c:pt idx="139">
                  <c:v>5.4285714285714288</c:v>
                </c:pt>
                <c:pt idx="140">
                  <c:v>5.8</c:v>
                </c:pt>
                <c:pt idx="141">
                  <c:v>4.5625</c:v>
                </c:pt>
                <c:pt idx="142">
                  <c:v>4.5454545454545459</c:v>
                </c:pt>
                <c:pt idx="143">
                  <c:v>5.75</c:v>
                </c:pt>
                <c:pt idx="144">
                  <c:v>5.2</c:v>
                </c:pt>
                <c:pt idx="145">
                  <c:v>7.25</c:v>
                </c:pt>
                <c:pt idx="146">
                  <c:v>4.8</c:v>
                </c:pt>
                <c:pt idx="147">
                  <c:v>4.5384615384615383</c:v>
                </c:pt>
                <c:pt idx="148">
                  <c:v>4.5999999999999996</c:v>
                </c:pt>
                <c:pt idx="149">
                  <c:v>5</c:v>
                </c:pt>
                <c:pt idx="150">
                  <c:v>7</c:v>
                </c:pt>
                <c:pt idx="151">
                  <c:v>4.7777777777777777</c:v>
                </c:pt>
                <c:pt idx="152">
                  <c:v>5.2727272727272725</c:v>
                </c:pt>
                <c:pt idx="153">
                  <c:v>4.2727272727272725</c:v>
                </c:pt>
                <c:pt idx="154">
                  <c:v>5</c:v>
                </c:pt>
                <c:pt idx="155">
                  <c:v>4.3571428571428568</c:v>
                </c:pt>
                <c:pt idx="156">
                  <c:v>4.8571428571428568</c:v>
                </c:pt>
                <c:pt idx="157">
                  <c:v>5.125</c:v>
                </c:pt>
                <c:pt idx="158">
                  <c:v>5</c:v>
                </c:pt>
                <c:pt idx="159">
                  <c:v>5.2222222222222223</c:v>
                </c:pt>
                <c:pt idx="160">
                  <c:v>4.2222222222222223</c:v>
                </c:pt>
                <c:pt idx="161">
                  <c:v>4.8571428571428568</c:v>
                </c:pt>
                <c:pt idx="162">
                  <c:v>3.8888888888888888</c:v>
                </c:pt>
                <c:pt idx="163">
                  <c:v>4</c:v>
                </c:pt>
                <c:pt idx="164">
                  <c:v>5</c:v>
                </c:pt>
                <c:pt idx="165">
                  <c:v>5.7777777777777777</c:v>
                </c:pt>
                <c:pt idx="166">
                  <c:v>2.6</c:v>
                </c:pt>
                <c:pt idx="167">
                  <c:v>6.5</c:v>
                </c:pt>
                <c:pt idx="168">
                  <c:v>3.8181818181818183</c:v>
                </c:pt>
                <c:pt idx="169">
                  <c:v>4.4000000000000004</c:v>
                </c:pt>
                <c:pt idx="170">
                  <c:v>4.5</c:v>
                </c:pt>
                <c:pt idx="171">
                  <c:v>4.625</c:v>
                </c:pt>
                <c:pt idx="172">
                  <c:v>4.5</c:v>
                </c:pt>
                <c:pt idx="173">
                  <c:v>5.833333333333333</c:v>
                </c:pt>
                <c:pt idx="174">
                  <c:v>4.666666666666667</c:v>
                </c:pt>
                <c:pt idx="175">
                  <c:v>4.666666666666667</c:v>
                </c:pt>
                <c:pt idx="176">
                  <c:v>6.75</c:v>
                </c:pt>
                <c:pt idx="177">
                  <c:v>5.7</c:v>
                </c:pt>
                <c:pt idx="178">
                  <c:v>5.5</c:v>
                </c:pt>
                <c:pt idx="179">
                  <c:v>6.2222222222222223</c:v>
                </c:pt>
                <c:pt idx="180">
                  <c:v>5.833333333333333</c:v>
                </c:pt>
                <c:pt idx="181">
                  <c:v>3.7</c:v>
                </c:pt>
                <c:pt idx="182">
                  <c:v>5.8</c:v>
                </c:pt>
                <c:pt idx="183">
                  <c:v>4</c:v>
                </c:pt>
                <c:pt idx="184">
                  <c:v>2</c:v>
                </c:pt>
                <c:pt idx="185">
                  <c:v>6</c:v>
                </c:pt>
                <c:pt idx="186">
                  <c:v>5</c:v>
                </c:pt>
                <c:pt idx="187">
                  <c:v>5.1111111111111107</c:v>
                </c:pt>
                <c:pt idx="188">
                  <c:v>3.8571428571428572</c:v>
                </c:pt>
                <c:pt idx="189">
                  <c:v>6.5714285714285712</c:v>
                </c:pt>
                <c:pt idx="190">
                  <c:v>5.2857142857142856</c:v>
                </c:pt>
                <c:pt idx="191">
                  <c:v>5.5</c:v>
                </c:pt>
                <c:pt idx="192">
                  <c:v>4.8181818181818183</c:v>
                </c:pt>
                <c:pt idx="193">
                  <c:v>5</c:v>
                </c:pt>
                <c:pt idx="194">
                  <c:v>3.2222222222222223</c:v>
                </c:pt>
                <c:pt idx="195">
                  <c:v>6.333333333333333</c:v>
                </c:pt>
                <c:pt idx="196">
                  <c:v>3.8</c:v>
                </c:pt>
                <c:pt idx="197">
                  <c:v>3.1111111111111112</c:v>
                </c:pt>
                <c:pt idx="198">
                  <c:v>2.8333333333333335</c:v>
                </c:pt>
                <c:pt idx="199">
                  <c:v>6.625</c:v>
                </c:pt>
                <c:pt idx="200">
                  <c:v>3.5</c:v>
                </c:pt>
                <c:pt idx="201">
                  <c:v>5.166666666666667</c:v>
                </c:pt>
                <c:pt idx="202">
                  <c:v>5.333333333333333</c:v>
                </c:pt>
                <c:pt idx="203">
                  <c:v>4.875</c:v>
                </c:pt>
                <c:pt idx="204">
                  <c:v>4.5</c:v>
                </c:pt>
                <c:pt idx="205">
                  <c:v>4.625</c:v>
                </c:pt>
                <c:pt idx="206">
                  <c:v>5</c:v>
                </c:pt>
                <c:pt idx="207">
                  <c:v>6.8181818181818183</c:v>
                </c:pt>
                <c:pt idx="208">
                  <c:v>6.375</c:v>
                </c:pt>
                <c:pt idx="209">
                  <c:v>4.615384615384615</c:v>
                </c:pt>
                <c:pt idx="210">
                  <c:v>5.5454545454545459</c:v>
                </c:pt>
                <c:pt idx="211">
                  <c:v>6.9090909090909092</c:v>
                </c:pt>
                <c:pt idx="212">
                  <c:v>5.2</c:v>
                </c:pt>
                <c:pt idx="213">
                  <c:v>4.4444444444444446</c:v>
                </c:pt>
                <c:pt idx="214">
                  <c:v>6.2727272727272725</c:v>
                </c:pt>
                <c:pt idx="215">
                  <c:v>4.5999999999999996</c:v>
                </c:pt>
                <c:pt idx="216">
                  <c:v>5.5</c:v>
                </c:pt>
                <c:pt idx="217">
                  <c:v>5.4285714285714288</c:v>
                </c:pt>
                <c:pt idx="218">
                  <c:v>9.5</c:v>
                </c:pt>
                <c:pt idx="219">
                  <c:v>2.1666666666666665</c:v>
                </c:pt>
                <c:pt idx="220">
                  <c:v>5.333333333333333</c:v>
                </c:pt>
                <c:pt idx="221">
                  <c:v>4.1428571428571432</c:v>
                </c:pt>
                <c:pt idx="222">
                  <c:v>2.75</c:v>
                </c:pt>
                <c:pt idx="223">
                  <c:v>4.4000000000000004</c:v>
                </c:pt>
                <c:pt idx="224">
                  <c:v>5.5</c:v>
                </c:pt>
                <c:pt idx="225">
                  <c:v>6.4</c:v>
                </c:pt>
                <c:pt idx="226">
                  <c:v>5.25</c:v>
                </c:pt>
                <c:pt idx="227">
                  <c:v>6</c:v>
                </c:pt>
                <c:pt idx="228">
                  <c:v>5.1428571428571432</c:v>
                </c:pt>
                <c:pt idx="229">
                  <c:v>5.25</c:v>
                </c:pt>
                <c:pt idx="230">
                  <c:v>6</c:v>
                </c:pt>
                <c:pt idx="231">
                  <c:v>5.4375</c:v>
                </c:pt>
                <c:pt idx="232">
                  <c:v>4.5</c:v>
                </c:pt>
                <c:pt idx="233">
                  <c:v>4.7142857142857144</c:v>
                </c:pt>
                <c:pt idx="234">
                  <c:v>7.375</c:v>
                </c:pt>
                <c:pt idx="235">
                  <c:v>4.1428571428571432</c:v>
                </c:pt>
                <c:pt idx="236">
                  <c:v>5.2222222222222223</c:v>
                </c:pt>
                <c:pt idx="237">
                  <c:v>3.375</c:v>
                </c:pt>
                <c:pt idx="238">
                  <c:v>6</c:v>
                </c:pt>
                <c:pt idx="239">
                  <c:v>5.6</c:v>
                </c:pt>
                <c:pt idx="240">
                  <c:v>3.75</c:v>
                </c:pt>
                <c:pt idx="241">
                  <c:v>4.8571428571428568</c:v>
                </c:pt>
                <c:pt idx="242">
                  <c:v>5.5</c:v>
                </c:pt>
                <c:pt idx="243">
                  <c:v>4</c:v>
                </c:pt>
                <c:pt idx="244">
                  <c:v>4.625</c:v>
                </c:pt>
                <c:pt idx="245">
                  <c:v>3.75</c:v>
                </c:pt>
                <c:pt idx="246">
                  <c:v>6.333333333333333</c:v>
                </c:pt>
                <c:pt idx="247">
                  <c:v>6.4</c:v>
                </c:pt>
                <c:pt idx="248">
                  <c:v>5.0999999999999996</c:v>
                </c:pt>
                <c:pt idx="249">
                  <c:v>4.1428571428571432</c:v>
                </c:pt>
                <c:pt idx="250">
                  <c:v>5.8</c:v>
                </c:pt>
                <c:pt idx="251">
                  <c:v>3.8333333333333335</c:v>
                </c:pt>
                <c:pt idx="252">
                  <c:v>4</c:v>
                </c:pt>
                <c:pt idx="253">
                  <c:v>6.833333333333333</c:v>
                </c:pt>
                <c:pt idx="254">
                  <c:v>4.833333333333333</c:v>
                </c:pt>
                <c:pt idx="255">
                  <c:v>4</c:v>
                </c:pt>
                <c:pt idx="256">
                  <c:v>5.7142857142857144</c:v>
                </c:pt>
                <c:pt idx="257">
                  <c:v>4.384615384615385</c:v>
                </c:pt>
                <c:pt idx="258">
                  <c:v>5.5</c:v>
                </c:pt>
                <c:pt idx="259">
                  <c:v>5.8888888888888893</c:v>
                </c:pt>
                <c:pt idx="260">
                  <c:v>6.1818181818181817</c:v>
                </c:pt>
                <c:pt idx="261">
                  <c:v>4</c:v>
                </c:pt>
                <c:pt idx="262">
                  <c:v>4.333333333333333</c:v>
                </c:pt>
                <c:pt idx="263">
                  <c:v>4.8461538461538458</c:v>
                </c:pt>
                <c:pt idx="264">
                  <c:v>3</c:v>
                </c:pt>
                <c:pt idx="265">
                  <c:v>3.8333333333333335</c:v>
                </c:pt>
                <c:pt idx="266">
                  <c:v>6.5</c:v>
                </c:pt>
                <c:pt idx="267">
                  <c:v>5.7</c:v>
                </c:pt>
                <c:pt idx="268">
                  <c:v>4.5714285714285712</c:v>
                </c:pt>
                <c:pt idx="269">
                  <c:v>3.2727272727272729</c:v>
                </c:pt>
                <c:pt idx="270">
                  <c:v>3</c:v>
                </c:pt>
                <c:pt idx="271">
                  <c:v>7.2857142857142856</c:v>
                </c:pt>
                <c:pt idx="272">
                  <c:v>5.7142857142857144</c:v>
                </c:pt>
                <c:pt idx="273">
                  <c:v>4.833333333333333</c:v>
                </c:pt>
                <c:pt idx="274">
                  <c:v>4.5</c:v>
                </c:pt>
                <c:pt idx="275">
                  <c:v>3.6666666666666665</c:v>
                </c:pt>
                <c:pt idx="276">
                  <c:v>5.4444444444444446</c:v>
                </c:pt>
                <c:pt idx="277">
                  <c:v>4.2857142857142856</c:v>
                </c:pt>
                <c:pt idx="278">
                  <c:v>3.3333333333333335</c:v>
                </c:pt>
                <c:pt idx="279">
                  <c:v>7.1428571428571432</c:v>
                </c:pt>
                <c:pt idx="280">
                  <c:v>4</c:v>
                </c:pt>
                <c:pt idx="281">
                  <c:v>5</c:v>
                </c:pt>
                <c:pt idx="282">
                  <c:v>8.5</c:v>
                </c:pt>
                <c:pt idx="283">
                  <c:v>5.3636363636363633</c:v>
                </c:pt>
                <c:pt idx="284">
                  <c:v>3.2222222222222223</c:v>
                </c:pt>
                <c:pt idx="285">
                  <c:v>3.8888888888888888</c:v>
                </c:pt>
                <c:pt idx="286">
                  <c:v>5.4615384615384617</c:v>
                </c:pt>
                <c:pt idx="287">
                  <c:v>5.9090909090909092</c:v>
                </c:pt>
                <c:pt idx="288">
                  <c:v>6.625</c:v>
                </c:pt>
                <c:pt idx="289">
                  <c:v>6.4545454545454541</c:v>
                </c:pt>
                <c:pt idx="290">
                  <c:v>5.166666666666667</c:v>
                </c:pt>
                <c:pt idx="291">
                  <c:v>6.7</c:v>
                </c:pt>
                <c:pt idx="292">
                  <c:v>3.75</c:v>
                </c:pt>
                <c:pt idx="293">
                  <c:v>4.8461538461538458</c:v>
                </c:pt>
                <c:pt idx="294">
                  <c:v>4.6363636363636367</c:v>
                </c:pt>
                <c:pt idx="295">
                  <c:v>5.1111111111111107</c:v>
                </c:pt>
                <c:pt idx="296">
                  <c:v>7.375</c:v>
                </c:pt>
                <c:pt idx="297">
                  <c:v>4.4444444444444446</c:v>
                </c:pt>
                <c:pt idx="298">
                  <c:v>3.8888888888888888</c:v>
                </c:pt>
                <c:pt idx="299">
                  <c:v>5.8888888888888893</c:v>
                </c:pt>
                <c:pt idx="300">
                  <c:v>4</c:v>
                </c:pt>
                <c:pt idx="301">
                  <c:v>3.75</c:v>
                </c:pt>
                <c:pt idx="302">
                  <c:v>4.625</c:v>
                </c:pt>
                <c:pt idx="303">
                  <c:v>5</c:v>
                </c:pt>
                <c:pt idx="304">
                  <c:v>4.666666666666667</c:v>
                </c:pt>
                <c:pt idx="305">
                  <c:v>4.666666666666667</c:v>
                </c:pt>
                <c:pt idx="306">
                  <c:v>5.4</c:v>
                </c:pt>
                <c:pt idx="307">
                  <c:v>5.2</c:v>
                </c:pt>
                <c:pt idx="308">
                  <c:v>2.4285714285714284</c:v>
                </c:pt>
                <c:pt idx="309">
                  <c:v>4.8</c:v>
                </c:pt>
                <c:pt idx="310">
                  <c:v>6.5714285714285712</c:v>
                </c:pt>
                <c:pt idx="311">
                  <c:v>3</c:v>
                </c:pt>
                <c:pt idx="312">
                  <c:v>4.5999999999999996</c:v>
                </c:pt>
                <c:pt idx="313">
                  <c:v>3.875</c:v>
                </c:pt>
                <c:pt idx="314">
                  <c:v>7.25</c:v>
                </c:pt>
                <c:pt idx="315">
                  <c:v>3</c:v>
                </c:pt>
                <c:pt idx="316">
                  <c:v>8</c:v>
                </c:pt>
                <c:pt idx="317">
                  <c:v>6</c:v>
                </c:pt>
                <c:pt idx="318">
                  <c:v>3.6666666666666665</c:v>
                </c:pt>
                <c:pt idx="319">
                  <c:v>5.333333333333333</c:v>
                </c:pt>
                <c:pt idx="320">
                  <c:v>6.1111111111111107</c:v>
                </c:pt>
                <c:pt idx="321">
                  <c:v>6.5</c:v>
                </c:pt>
                <c:pt idx="322">
                  <c:v>5</c:v>
                </c:pt>
                <c:pt idx="323">
                  <c:v>5.8</c:v>
                </c:pt>
                <c:pt idx="324">
                  <c:v>6</c:v>
                </c:pt>
                <c:pt idx="325">
                  <c:v>8</c:v>
                </c:pt>
                <c:pt idx="326">
                  <c:v>7</c:v>
                </c:pt>
                <c:pt idx="327">
                  <c:v>3.75</c:v>
                </c:pt>
                <c:pt idx="328">
                  <c:v>1</c:v>
                </c:pt>
                <c:pt idx="329">
                  <c:v>9</c:v>
                </c:pt>
                <c:pt idx="330">
                  <c:v>5.8</c:v>
                </c:pt>
                <c:pt idx="331">
                  <c:v>4</c:v>
                </c:pt>
                <c:pt idx="332">
                  <c:v>6.4</c:v>
                </c:pt>
                <c:pt idx="333">
                  <c:v>5</c:v>
                </c:pt>
                <c:pt idx="334">
                  <c:v>9</c:v>
                </c:pt>
                <c:pt idx="335">
                  <c:v>4.4000000000000004</c:v>
                </c:pt>
                <c:pt idx="336">
                  <c:v>4</c:v>
                </c:pt>
                <c:pt idx="337">
                  <c:v>0</c:v>
                </c:pt>
                <c:pt idx="338">
                  <c:v>2.875</c:v>
                </c:pt>
                <c:pt idx="339">
                  <c:v>5.25</c:v>
                </c:pt>
                <c:pt idx="340">
                  <c:v>6</c:v>
                </c:pt>
                <c:pt idx="341">
                  <c:v>6.5</c:v>
                </c:pt>
                <c:pt idx="342">
                  <c:v>5.5</c:v>
                </c:pt>
                <c:pt idx="343">
                  <c:v>5.666666666666667</c:v>
                </c:pt>
                <c:pt idx="344">
                  <c:v>5.25</c:v>
                </c:pt>
                <c:pt idx="345">
                  <c:v>7.25</c:v>
                </c:pt>
                <c:pt idx="346">
                  <c:v>6</c:v>
                </c:pt>
                <c:pt idx="347">
                  <c:v>4.5999999999999996</c:v>
                </c:pt>
                <c:pt idx="348">
                  <c:v>8</c:v>
                </c:pt>
                <c:pt idx="349">
                  <c:v>3.6666666666666665</c:v>
                </c:pt>
                <c:pt idx="350">
                  <c:v>2.4285714285714284</c:v>
                </c:pt>
                <c:pt idx="351">
                  <c:v>9</c:v>
                </c:pt>
                <c:pt idx="352">
                  <c:v>6</c:v>
                </c:pt>
                <c:pt idx="353">
                  <c:v>4</c:v>
                </c:pt>
                <c:pt idx="354">
                  <c:v>4.833333333333333</c:v>
                </c:pt>
                <c:pt idx="355">
                  <c:v>3.6</c:v>
                </c:pt>
                <c:pt idx="356">
                  <c:v>5</c:v>
                </c:pt>
                <c:pt idx="357">
                  <c:v>5.25</c:v>
                </c:pt>
                <c:pt idx="358">
                  <c:v>3.2</c:v>
                </c:pt>
                <c:pt idx="359">
                  <c:v>5.5</c:v>
                </c:pt>
                <c:pt idx="360">
                  <c:v>3</c:v>
                </c:pt>
                <c:pt idx="361">
                  <c:v>3.9090909090909092</c:v>
                </c:pt>
                <c:pt idx="362">
                  <c:v>2.6666666666666665</c:v>
                </c:pt>
              </c:numCache>
            </c:numRef>
          </c:val>
          <c:extLst>
            <c:ext xmlns:c16="http://schemas.microsoft.com/office/drawing/2014/chart" uri="{C3380CC4-5D6E-409C-BE32-E72D297353CC}">
              <c16:uniqueId val="{00000000-FE74-4AE4-9ECF-8AADE12085DF}"/>
            </c:ext>
          </c:extLst>
        </c:ser>
        <c:dLbls>
          <c:showLegendKey val="0"/>
          <c:showVal val="0"/>
          <c:showCatName val="0"/>
          <c:showSerName val="0"/>
          <c:showPercent val="0"/>
          <c:showBubbleSize val="0"/>
        </c:dLbls>
        <c:axId val="453315792"/>
        <c:axId val="453320112"/>
      </c:areaChart>
      <c:catAx>
        <c:axId val="453315792"/>
        <c:scaling>
          <c:orientation val="minMax"/>
        </c:scaling>
        <c:delete val="1"/>
        <c:axPos val="b"/>
        <c:numFmt formatCode="General" sourceLinked="1"/>
        <c:majorTickMark val="out"/>
        <c:minorTickMark val="none"/>
        <c:tickLblPos val="nextTo"/>
        <c:crossAx val="453320112"/>
        <c:crosses val="autoZero"/>
        <c:auto val="1"/>
        <c:lblAlgn val="ctr"/>
        <c:lblOffset val="100"/>
        <c:noMultiLvlLbl val="0"/>
      </c:catAx>
      <c:valAx>
        <c:axId val="453320112"/>
        <c:scaling>
          <c:orientation val="minMax"/>
        </c:scaling>
        <c:delete val="1"/>
        <c:axPos val="l"/>
        <c:numFmt formatCode="0" sourceLinked="1"/>
        <c:majorTickMark val="none"/>
        <c:minorTickMark val="none"/>
        <c:tickLblPos val="nextTo"/>
        <c:crossAx val="45331579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[Hospital_Emergency_Room_Analysis.xlsx.xlsx]Pivot report!PivotTable8</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0" i="0" u="none" strike="noStrike" kern="1200" baseline="0">
                <a:solidFill>
                  <a:schemeClr val="tx1"/>
                </a:solidFill>
              </a:rPr>
              <a:t>Patients by Age Group</a:t>
            </a:r>
          </a:p>
        </c:rich>
      </c:tx>
      <c:layout>
        <c:manualLayout>
          <c:xMode val="edge"/>
          <c:yMode val="edge"/>
          <c:x val="0.31385859993912346"/>
          <c:y val="3.06705499929964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report'!$B$54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report'!$A$55:$A$63</c:f>
              <c:strCache>
                <c:ptCount val="8"/>
                <c:pt idx="0">
                  <c:v>0-9</c:v>
                </c:pt>
                <c:pt idx="1">
                  <c:v>10-19</c:v>
                </c:pt>
                <c:pt idx="2">
                  <c:v>20-29</c:v>
                </c:pt>
                <c:pt idx="3">
                  <c:v>30-39</c:v>
                </c:pt>
                <c:pt idx="4">
                  <c:v>40-49</c:v>
                </c:pt>
                <c:pt idx="5">
                  <c:v>50-59</c:v>
                </c:pt>
                <c:pt idx="6">
                  <c:v>60-69</c:v>
                </c:pt>
                <c:pt idx="7">
                  <c:v>70-79</c:v>
                </c:pt>
              </c:strCache>
            </c:strRef>
          </c:cat>
          <c:val>
            <c:numRef>
              <c:f>'Pivot report'!$B$55:$B$63</c:f>
              <c:numCache>
                <c:formatCode>0</c:formatCode>
                <c:ptCount val="8"/>
                <c:pt idx="0">
                  <c:v>1056</c:v>
                </c:pt>
                <c:pt idx="1">
                  <c:v>1179</c:v>
                </c:pt>
                <c:pt idx="2">
                  <c:v>1188</c:v>
                </c:pt>
                <c:pt idx="3">
                  <c:v>1200</c:v>
                </c:pt>
                <c:pt idx="4">
                  <c:v>1135</c:v>
                </c:pt>
                <c:pt idx="5">
                  <c:v>1151</c:v>
                </c:pt>
                <c:pt idx="6">
                  <c:v>1154</c:v>
                </c:pt>
                <c:pt idx="7">
                  <c:v>1153</c:v>
                </c:pt>
              </c:numCache>
            </c:numRef>
          </c:val>
          <c:extLst>
            <c:ext xmlns:c16="http://schemas.microsoft.com/office/drawing/2014/chart" uri="{C3380CC4-5D6E-409C-BE32-E72D297353CC}">
              <c16:uniqueId val="{00000000-04F0-413C-ADBB-96616278E69A}"/>
            </c:ext>
          </c:extLst>
        </c:ser>
        <c:dLbls>
          <c:dLblPos val="outEnd"/>
          <c:showLegendKey val="0"/>
          <c:showVal val="1"/>
          <c:showCatName val="0"/>
          <c:showSerName val="0"/>
          <c:showPercent val="0"/>
          <c:showBubbleSize val="0"/>
        </c:dLbls>
        <c:gapWidth val="219"/>
        <c:overlap val="-27"/>
        <c:axId val="410006320"/>
        <c:axId val="410003440"/>
      </c:barChart>
      <c:catAx>
        <c:axId val="410006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10003440"/>
        <c:crosses val="autoZero"/>
        <c:auto val="1"/>
        <c:lblAlgn val="ctr"/>
        <c:lblOffset val="100"/>
        <c:noMultiLvlLbl val="0"/>
      </c:catAx>
      <c:valAx>
        <c:axId val="410003440"/>
        <c:scaling>
          <c:orientation val="minMax"/>
        </c:scaling>
        <c:delete val="1"/>
        <c:axPos val="l"/>
        <c:numFmt formatCode="0" sourceLinked="1"/>
        <c:majorTickMark val="out"/>
        <c:minorTickMark val="none"/>
        <c:tickLblPos val="nextTo"/>
        <c:crossAx val="41000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[Hospital_Emergency_Room_Analysis.xlsx.xlsx]Pivot report!PivotTable9</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0" i="0" u="none" strike="noStrike" baseline="0">
                <a:solidFill>
                  <a:schemeClr val="tx1">
                    <a:lumMod val="85000"/>
                    <a:lumOff val="15000"/>
                  </a:schemeClr>
                </a:solidFill>
              </a:rPr>
              <a:t>Wait Time Status</a:t>
            </a:r>
            <a:endParaRPr lang="en-US" sz="1100">
              <a:solidFill>
                <a:schemeClr val="tx1">
                  <a:lumMod val="85000"/>
                  <a:lumOff val="15000"/>
                </a:schemeClr>
              </a:solidFill>
            </a:endParaRPr>
          </a:p>
        </c:rich>
      </c:tx>
      <c:layout>
        <c:manualLayout>
          <c:xMode val="edge"/>
          <c:yMode val="edge"/>
          <c:x val="0.24979937876337119"/>
          <c:y val="1.67173252279635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6435904209061114"/>
          <c:y val="0.12980466886615036"/>
          <c:w val="0.73280659711797125"/>
          <c:h val="0.73026920781124738"/>
        </c:manualLayout>
      </c:layout>
      <c:pieChart>
        <c:varyColors val="1"/>
        <c:ser>
          <c:idx val="0"/>
          <c:order val="0"/>
          <c:tx>
            <c:strRef>
              <c:f>'Pivot report'!$B$27</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382B-46F0-99FE-456763BC5BEB}"/>
              </c:ext>
            </c:extLst>
          </c:dPt>
          <c:dPt>
            <c:idx val="1"/>
            <c:bubble3D val="0"/>
            <c:spPr>
              <a:solidFill>
                <a:schemeClr val="accent2"/>
              </a:solidFill>
              <a:ln w="19050">
                <a:noFill/>
              </a:ln>
              <a:effectLst/>
            </c:spPr>
            <c:extLst>
              <c:ext xmlns:c16="http://schemas.microsoft.com/office/drawing/2014/chart" uri="{C3380CC4-5D6E-409C-BE32-E72D297353CC}">
                <c16:uniqueId val="{00000003-382B-46F0-99FE-456763BC5BEB}"/>
              </c:ext>
            </c:extLst>
          </c:dPt>
          <c:dLbls>
            <c:dLbl>
              <c:idx val="0"/>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82B-46F0-99FE-456763BC5BEB}"/>
                </c:ext>
              </c:extLst>
            </c:dLbl>
            <c:dLbl>
              <c:idx val="1"/>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82B-46F0-99FE-456763BC5BE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report'!$A$28:$A$30</c:f>
              <c:strCache>
                <c:ptCount val="2"/>
                <c:pt idx="0">
                  <c:v>Delayed</c:v>
                </c:pt>
                <c:pt idx="1">
                  <c:v>On-time</c:v>
                </c:pt>
              </c:strCache>
            </c:strRef>
          </c:cat>
          <c:val>
            <c:numRef>
              <c:f>'Pivot report'!$B$28:$B$30</c:f>
              <c:numCache>
                <c:formatCode>0</c:formatCode>
                <c:ptCount val="2"/>
                <c:pt idx="0">
                  <c:v>5467</c:v>
                </c:pt>
                <c:pt idx="1">
                  <c:v>3749</c:v>
                </c:pt>
              </c:numCache>
            </c:numRef>
          </c:val>
          <c:extLst>
            <c:ext xmlns:c16="http://schemas.microsoft.com/office/drawing/2014/chart" uri="{C3380CC4-5D6E-409C-BE32-E72D297353CC}">
              <c16:uniqueId val="{00000004-382B-46F0-99FE-456763BC5BEB}"/>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[Hospital_Emergency_Room_Analysis.xlsx.xlsx]Pivot report!PivotTable10</c:name>
    <c:fmtId val="4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sz="1100" b="0" i="0" u="none" strike="noStrike" baseline="0">
                <a:solidFill>
                  <a:schemeClr val="tx1">
                    <a:lumMod val="85000"/>
                    <a:lumOff val="15000"/>
                  </a:schemeClr>
                </a:solidFill>
              </a:rPr>
              <a:t>Patients by Gender</a:t>
            </a:r>
            <a:endParaRPr lang="en-US" sz="1100" b="0">
              <a:solidFill>
                <a:schemeClr val="tx1">
                  <a:lumMod val="85000"/>
                  <a:lumOff val="15000"/>
                </a:schemeClr>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15924190561010401"/>
          <c:y val="0.14558925748208146"/>
          <c:w val="0.69477207499712512"/>
          <c:h val="0.70190916794132396"/>
        </c:manualLayout>
      </c:layout>
      <c:doughnutChart>
        <c:varyColors val="1"/>
        <c:ser>
          <c:idx val="0"/>
          <c:order val="0"/>
          <c:tx>
            <c:strRef>
              <c:f>'Pivot report'!$B$68</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2B85-44FF-9DE1-3D5D4B438B2B}"/>
              </c:ext>
            </c:extLst>
          </c:dPt>
          <c:dPt>
            <c:idx val="1"/>
            <c:bubble3D val="0"/>
            <c:spPr>
              <a:solidFill>
                <a:schemeClr val="accent2"/>
              </a:solidFill>
              <a:ln>
                <a:noFill/>
              </a:ln>
              <a:effectLst/>
            </c:spPr>
            <c:extLst>
              <c:ext xmlns:c16="http://schemas.microsoft.com/office/drawing/2014/chart" uri="{C3380CC4-5D6E-409C-BE32-E72D297353CC}">
                <c16:uniqueId val="{00000003-2B85-44FF-9DE1-3D5D4B438B2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report'!$A$69:$A$71</c:f>
              <c:strCache>
                <c:ptCount val="2"/>
                <c:pt idx="0">
                  <c:v>Female</c:v>
                </c:pt>
                <c:pt idx="1">
                  <c:v>Male</c:v>
                </c:pt>
              </c:strCache>
            </c:strRef>
          </c:cat>
          <c:val>
            <c:numRef>
              <c:f>'Pivot report'!$B$69:$B$71</c:f>
              <c:numCache>
                <c:formatCode>0</c:formatCode>
                <c:ptCount val="2"/>
                <c:pt idx="0">
                  <c:v>4487</c:v>
                </c:pt>
                <c:pt idx="1">
                  <c:v>4729</c:v>
                </c:pt>
              </c:numCache>
            </c:numRef>
          </c:val>
          <c:extLst>
            <c:ext xmlns:c16="http://schemas.microsoft.com/office/drawing/2014/chart" uri="{C3380CC4-5D6E-409C-BE32-E72D297353CC}">
              <c16:uniqueId val="{00000004-2B85-44FF-9DE1-3D5D4B438B2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[Hospital_Emergency_Room_Analysis.xlsx.xlsx]Pivot report!PivotTable11</c:name>
    <c:fmtId val="4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solidFill>
                  <a:sysClr val="windowText" lastClr="000000"/>
                </a:solidFill>
              </a:rPr>
              <a:t>Department</a:t>
            </a:r>
            <a:r>
              <a:rPr lang="en-US" sz="1100" baseline="0">
                <a:solidFill>
                  <a:sysClr val="windowText" lastClr="000000"/>
                </a:solidFill>
              </a:rPr>
              <a:t> Referrals</a:t>
            </a:r>
          </a:p>
        </c:rich>
      </c:tx>
      <c:layout>
        <c:manualLayout>
          <c:xMode val="edge"/>
          <c:yMode val="edge"/>
          <c:x val="0.28606495516351543"/>
          <c:y val="3.43857384923974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report'!$B$75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report'!$A$76:$A$84</c:f>
              <c:strCache>
                <c:ptCount val="8"/>
                <c:pt idx="0">
                  <c:v>Renal</c:v>
                </c:pt>
                <c:pt idx="1">
                  <c:v>Gastroenterology</c:v>
                </c:pt>
                <c:pt idx="2">
                  <c:v>Neurology</c:v>
                </c:pt>
                <c:pt idx="3">
                  <c:v>Cardiology</c:v>
                </c:pt>
                <c:pt idx="4">
                  <c:v>Physiotherapy</c:v>
                </c:pt>
                <c:pt idx="5">
                  <c:v>Orthopedics</c:v>
                </c:pt>
                <c:pt idx="6">
                  <c:v>General Practice</c:v>
                </c:pt>
                <c:pt idx="7">
                  <c:v>No Referrals</c:v>
                </c:pt>
              </c:strCache>
            </c:strRef>
          </c:cat>
          <c:val>
            <c:numRef>
              <c:f>'Pivot report'!$B$76:$B$84</c:f>
              <c:numCache>
                <c:formatCode>0</c:formatCode>
                <c:ptCount val="8"/>
                <c:pt idx="0">
                  <c:v>86</c:v>
                </c:pt>
                <c:pt idx="1">
                  <c:v>178</c:v>
                </c:pt>
                <c:pt idx="2">
                  <c:v>193</c:v>
                </c:pt>
                <c:pt idx="3">
                  <c:v>248</c:v>
                </c:pt>
                <c:pt idx="4">
                  <c:v>276</c:v>
                </c:pt>
                <c:pt idx="5">
                  <c:v>995</c:v>
                </c:pt>
                <c:pt idx="6">
                  <c:v>1840</c:v>
                </c:pt>
                <c:pt idx="7">
                  <c:v>5400</c:v>
                </c:pt>
              </c:numCache>
            </c:numRef>
          </c:val>
          <c:extLst>
            <c:ext xmlns:c16="http://schemas.microsoft.com/office/drawing/2014/chart" uri="{C3380CC4-5D6E-409C-BE32-E72D297353CC}">
              <c16:uniqueId val="{00000000-725B-44BB-ADF9-C5BB0E569B38}"/>
            </c:ext>
          </c:extLst>
        </c:ser>
        <c:dLbls>
          <c:dLblPos val="outEnd"/>
          <c:showLegendKey val="0"/>
          <c:showVal val="1"/>
          <c:showCatName val="0"/>
          <c:showSerName val="0"/>
          <c:showPercent val="0"/>
          <c:showBubbleSize val="0"/>
        </c:dLbls>
        <c:gapWidth val="88"/>
        <c:axId val="709552096"/>
        <c:axId val="709547296"/>
      </c:barChart>
      <c:catAx>
        <c:axId val="709552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09547296"/>
        <c:crosses val="autoZero"/>
        <c:auto val="1"/>
        <c:lblAlgn val="ctr"/>
        <c:lblOffset val="100"/>
        <c:noMultiLvlLbl val="0"/>
      </c:catAx>
      <c:valAx>
        <c:axId val="709547296"/>
        <c:scaling>
          <c:orientation val="minMax"/>
        </c:scaling>
        <c:delete val="1"/>
        <c:axPos val="b"/>
        <c:numFmt formatCode="0" sourceLinked="1"/>
        <c:majorTickMark val="none"/>
        <c:minorTickMark val="none"/>
        <c:tickLblPos val="nextTo"/>
        <c:crossAx val="709552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[Hospital_Emergency_Room_Analysis.xlsx.xlsx]Pivot report!PivotTable6</c:name>
    <c:fmtId val="3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report'!$N$5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report'!$M$6:$M$369</c:f>
              <c:strCache>
                <c:ptCount val="363"/>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27-Feb</c:v>
                </c:pt>
                <c:pt idx="57">
                  <c:v>28-Feb</c:v>
                </c:pt>
                <c:pt idx="58">
                  <c:v>29-Feb</c:v>
                </c:pt>
                <c:pt idx="59">
                  <c:v>1-Mar</c:v>
                </c:pt>
                <c:pt idx="60">
                  <c:v>2-Mar</c:v>
                </c:pt>
                <c:pt idx="61">
                  <c:v>3-Mar</c:v>
                </c:pt>
                <c:pt idx="62">
                  <c:v>4-Mar</c:v>
                </c:pt>
                <c:pt idx="63">
                  <c:v>5-Mar</c:v>
                </c:pt>
                <c:pt idx="64">
                  <c:v>6-Mar</c:v>
                </c:pt>
                <c:pt idx="65">
                  <c:v>7-Mar</c:v>
                </c:pt>
                <c:pt idx="66">
                  <c:v>8-Mar</c:v>
                </c:pt>
                <c:pt idx="67">
                  <c:v>9-Mar</c:v>
                </c:pt>
                <c:pt idx="68">
                  <c:v>10-Mar</c:v>
                </c:pt>
                <c:pt idx="69">
                  <c:v>11-Mar</c:v>
                </c:pt>
                <c:pt idx="70">
                  <c:v>12-Mar</c:v>
                </c:pt>
                <c:pt idx="71">
                  <c:v>13-Mar</c:v>
                </c:pt>
                <c:pt idx="72">
                  <c:v>14-Mar</c:v>
                </c:pt>
                <c:pt idx="73">
                  <c:v>15-Mar</c:v>
                </c:pt>
                <c:pt idx="74">
                  <c:v>16-Mar</c:v>
                </c:pt>
                <c:pt idx="75">
                  <c:v>17-Mar</c:v>
                </c:pt>
                <c:pt idx="76">
                  <c:v>18-Mar</c:v>
                </c:pt>
                <c:pt idx="77">
                  <c:v>19-Mar</c:v>
                </c:pt>
                <c:pt idx="78">
                  <c:v>20-Mar</c:v>
                </c:pt>
                <c:pt idx="79">
                  <c:v>21-Mar</c:v>
                </c:pt>
                <c:pt idx="80">
                  <c:v>22-Mar</c:v>
                </c:pt>
                <c:pt idx="81">
                  <c:v>23-Mar</c:v>
                </c:pt>
                <c:pt idx="82">
                  <c:v>24-Mar</c:v>
                </c:pt>
                <c:pt idx="83">
                  <c:v>25-Mar</c:v>
                </c:pt>
                <c:pt idx="84">
                  <c:v>26-Mar</c:v>
                </c:pt>
                <c:pt idx="85">
                  <c:v>27-Mar</c:v>
                </c:pt>
                <c:pt idx="86">
                  <c:v>28-Mar</c:v>
                </c:pt>
                <c:pt idx="87">
                  <c:v>29-Mar</c:v>
                </c:pt>
                <c:pt idx="88">
                  <c:v>30-Mar</c:v>
                </c:pt>
                <c:pt idx="89">
                  <c:v>31-Mar</c:v>
                </c:pt>
                <c:pt idx="90">
                  <c:v>1-Apr</c:v>
                </c:pt>
                <c:pt idx="91">
                  <c:v>2-Apr</c:v>
                </c:pt>
                <c:pt idx="92">
                  <c:v>3-Apr</c:v>
                </c:pt>
                <c:pt idx="93">
                  <c:v>4-Apr</c:v>
                </c:pt>
                <c:pt idx="94">
                  <c:v>5-Apr</c:v>
                </c:pt>
                <c:pt idx="95">
                  <c:v>6-Apr</c:v>
                </c:pt>
                <c:pt idx="96">
                  <c:v>7-Apr</c:v>
                </c:pt>
                <c:pt idx="97">
                  <c:v>8-Apr</c:v>
                </c:pt>
                <c:pt idx="98">
                  <c:v>9-Apr</c:v>
                </c:pt>
                <c:pt idx="99">
                  <c:v>10-Apr</c:v>
                </c:pt>
                <c:pt idx="100">
                  <c:v>11-Apr</c:v>
                </c:pt>
                <c:pt idx="101">
                  <c:v>12-Apr</c:v>
                </c:pt>
                <c:pt idx="102">
                  <c:v>13-Apr</c:v>
                </c:pt>
                <c:pt idx="103">
                  <c:v>14-Apr</c:v>
                </c:pt>
                <c:pt idx="104">
                  <c:v>15-Apr</c:v>
                </c:pt>
                <c:pt idx="105">
                  <c:v>16-Apr</c:v>
                </c:pt>
                <c:pt idx="106">
                  <c:v>17-Apr</c:v>
                </c:pt>
                <c:pt idx="107">
                  <c:v>18-Apr</c:v>
                </c:pt>
                <c:pt idx="108">
                  <c:v>19-Apr</c:v>
                </c:pt>
                <c:pt idx="109">
                  <c:v>20-Apr</c:v>
                </c:pt>
                <c:pt idx="110">
                  <c:v>21-Apr</c:v>
                </c:pt>
                <c:pt idx="111">
                  <c:v>22-Apr</c:v>
                </c:pt>
                <c:pt idx="112">
                  <c:v>23-Apr</c:v>
                </c:pt>
                <c:pt idx="113">
                  <c:v>24-Apr</c:v>
                </c:pt>
                <c:pt idx="114">
                  <c:v>25-Apr</c:v>
                </c:pt>
                <c:pt idx="115">
                  <c:v>26-Apr</c:v>
                </c:pt>
                <c:pt idx="116">
                  <c:v>27-Apr</c:v>
                </c:pt>
                <c:pt idx="117">
                  <c:v>28-Apr</c:v>
                </c:pt>
                <c:pt idx="118">
                  <c:v>29-Apr</c:v>
                </c:pt>
                <c:pt idx="119">
                  <c:v>30-Apr</c:v>
                </c:pt>
                <c:pt idx="120">
                  <c:v>1-May</c:v>
                </c:pt>
                <c:pt idx="121">
                  <c:v>2-May</c:v>
                </c:pt>
                <c:pt idx="122">
                  <c:v>3-May</c:v>
                </c:pt>
                <c:pt idx="123">
                  <c:v>4-May</c:v>
                </c:pt>
                <c:pt idx="124">
                  <c:v>5-May</c:v>
                </c:pt>
                <c:pt idx="125">
                  <c:v>6-May</c:v>
                </c:pt>
                <c:pt idx="126">
                  <c:v>7-May</c:v>
                </c:pt>
                <c:pt idx="127">
                  <c:v>8-May</c:v>
                </c:pt>
                <c:pt idx="128">
                  <c:v>9-May</c:v>
                </c:pt>
                <c:pt idx="129">
                  <c:v>10-May</c:v>
                </c:pt>
                <c:pt idx="130">
                  <c:v>11-May</c:v>
                </c:pt>
                <c:pt idx="131">
                  <c:v>12-May</c:v>
                </c:pt>
                <c:pt idx="132">
                  <c:v>13-May</c:v>
                </c:pt>
                <c:pt idx="133">
                  <c:v>14-May</c:v>
                </c:pt>
                <c:pt idx="134">
                  <c:v>15-May</c:v>
                </c:pt>
                <c:pt idx="135">
                  <c:v>16-May</c:v>
                </c:pt>
                <c:pt idx="136">
                  <c:v>17-May</c:v>
                </c:pt>
                <c:pt idx="137">
                  <c:v>18-May</c:v>
                </c:pt>
                <c:pt idx="138">
                  <c:v>19-May</c:v>
                </c:pt>
                <c:pt idx="139">
                  <c:v>20-May</c:v>
                </c:pt>
                <c:pt idx="140">
                  <c:v>21-May</c:v>
                </c:pt>
                <c:pt idx="141">
                  <c:v>22-May</c:v>
                </c:pt>
                <c:pt idx="142">
                  <c:v>23-May</c:v>
                </c:pt>
                <c:pt idx="143">
                  <c:v>24-May</c:v>
                </c:pt>
                <c:pt idx="144">
                  <c:v>25-May</c:v>
                </c:pt>
                <c:pt idx="145">
                  <c:v>26-May</c:v>
                </c:pt>
                <c:pt idx="146">
                  <c:v>27-May</c:v>
                </c:pt>
                <c:pt idx="147">
                  <c:v>28-May</c:v>
                </c:pt>
                <c:pt idx="148">
                  <c:v>29-May</c:v>
                </c:pt>
                <c:pt idx="149">
                  <c:v>30-May</c:v>
                </c:pt>
                <c:pt idx="150">
                  <c:v>31-May</c:v>
                </c:pt>
                <c:pt idx="151">
                  <c:v>1-Jun</c:v>
                </c:pt>
                <c:pt idx="152">
                  <c:v>2-Jun</c:v>
                </c:pt>
                <c:pt idx="153">
                  <c:v>3-Jun</c:v>
                </c:pt>
                <c:pt idx="154">
                  <c:v>4-Jun</c:v>
                </c:pt>
                <c:pt idx="155">
                  <c:v>5-Jun</c:v>
                </c:pt>
                <c:pt idx="156">
                  <c:v>6-Jun</c:v>
                </c:pt>
                <c:pt idx="157">
                  <c:v>7-Jun</c:v>
                </c:pt>
                <c:pt idx="158">
                  <c:v>8-Jun</c:v>
                </c:pt>
                <c:pt idx="159">
                  <c:v>9-Jun</c:v>
                </c:pt>
                <c:pt idx="160">
                  <c:v>10-Jun</c:v>
                </c:pt>
                <c:pt idx="161">
                  <c:v>11-Jun</c:v>
                </c:pt>
                <c:pt idx="162">
                  <c:v>12-Jun</c:v>
                </c:pt>
                <c:pt idx="163">
                  <c:v>13-Jun</c:v>
                </c:pt>
                <c:pt idx="164">
                  <c:v>14-Jun</c:v>
                </c:pt>
                <c:pt idx="165">
                  <c:v>15-Jun</c:v>
                </c:pt>
                <c:pt idx="166">
                  <c:v>16-Jun</c:v>
                </c:pt>
                <c:pt idx="167">
                  <c:v>17-Jun</c:v>
                </c:pt>
                <c:pt idx="168">
                  <c:v>18-Jun</c:v>
                </c:pt>
                <c:pt idx="169">
                  <c:v>19-Jun</c:v>
                </c:pt>
                <c:pt idx="170">
                  <c:v>20-Jun</c:v>
                </c:pt>
                <c:pt idx="171">
                  <c:v>21-Jun</c:v>
                </c:pt>
                <c:pt idx="172">
                  <c:v>22-Jun</c:v>
                </c:pt>
                <c:pt idx="173">
                  <c:v>23-Jun</c:v>
                </c:pt>
                <c:pt idx="174">
                  <c:v>24-Jun</c:v>
                </c:pt>
                <c:pt idx="175">
                  <c:v>25-Jun</c:v>
                </c:pt>
                <c:pt idx="176">
                  <c:v>26-Jun</c:v>
                </c:pt>
                <c:pt idx="177">
                  <c:v>27-Jun</c:v>
                </c:pt>
                <c:pt idx="178">
                  <c:v>28-Jun</c:v>
                </c:pt>
                <c:pt idx="179">
                  <c:v>29-Jun</c:v>
                </c:pt>
                <c:pt idx="180">
                  <c:v>30-Jun</c:v>
                </c:pt>
                <c:pt idx="181">
                  <c:v>1-Jul</c:v>
                </c:pt>
                <c:pt idx="182">
                  <c:v>2-Jul</c:v>
                </c:pt>
                <c:pt idx="183">
                  <c:v>3-Jul</c:v>
                </c:pt>
                <c:pt idx="184">
                  <c:v>4-Jul</c:v>
                </c:pt>
                <c:pt idx="185">
                  <c:v>5-Jul</c:v>
                </c:pt>
                <c:pt idx="186">
                  <c:v>6-Jul</c:v>
                </c:pt>
                <c:pt idx="187">
                  <c:v>7-Jul</c:v>
                </c:pt>
                <c:pt idx="188">
                  <c:v>8-Jul</c:v>
                </c:pt>
                <c:pt idx="189">
                  <c:v>9-Jul</c:v>
                </c:pt>
                <c:pt idx="190">
                  <c:v>10-Jul</c:v>
                </c:pt>
                <c:pt idx="191">
                  <c:v>11-Jul</c:v>
                </c:pt>
                <c:pt idx="192">
                  <c:v>12-Jul</c:v>
                </c:pt>
                <c:pt idx="193">
                  <c:v>13-Jul</c:v>
                </c:pt>
                <c:pt idx="194">
                  <c:v>14-Jul</c:v>
                </c:pt>
                <c:pt idx="195">
                  <c:v>15-Jul</c:v>
                </c:pt>
                <c:pt idx="196">
                  <c:v>16-Jul</c:v>
                </c:pt>
                <c:pt idx="197">
                  <c:v>17-Jul</c:v>
                </c:pt>
                <c:pt idx="198">
                  <c:v>18-Jul</c:v>
                </c:pt>
                <c:pt idx="199">
                  <c:v>19-Jul</c:v>
                </c:pt>
                <c:pt idx="200">
                  <c:v>20-Jul</c:v>
                </c:pt>
                <c:pt idx="201">
                  <c:v>21-Jul</c:v>
                </c:pt>
                <c:pt idx="202">
                  <c:v>22-Jul</c:v>
                </c:pt>
                <c:pt idx="203">
                  <c:v>23-Jul</c:v>
                </c:pt>
                <c:pt idx="204">
                  <c:v>24-Jul</c:v>
                </c:pt>
                <c:pt idx="205">
                  <c:v>25-Jul</c:v>
                </c:pt>
                <c:pt idx="206">
                  <c:v>26-Jul</c:v>
                </c:pt>
                <c:pt idx="207">
                  <c:v>27-Jul</c:v>
                </c:pt>
                <c:pt idx="208">
                  <c:v>28-Jul</c:v>
                </c:pt>
                <c:pt idx="209">
                  <c:v>29-Jul</c:v>
                </c:pt>
                <c:pt idx="210">
                  <c:v>30-Jul</c:v>
                </c:pt>
                <c:pt idx="211">
                  <c:v>31-Jul</c:v>
                </c:pt>
                <c:pt idx="212">
                  <c:v>1-Aug</c:v>
                </c:pt>
                <c:pt idx="213">
                  <c:v>2-Aug</c:v>
                </c:pt>
                <c:pt idx="214">
                  <c:v>3-Aug</c:v>
                </c:pt>
                <c:pt idx="215">
                  <c:v>4-Aug</c:v>
                </c:pt>
                <c:pt idx="216">
                  <c:v>5-Aug</c:v>
                </c:pt>
                <c:pt idx="217">
                  <c:v>6-Aug</c:v>
                </c:pt>
                <c:pt idx="218">
                  <c:v>7-Aug</c:v>
                </c:pt>
                <c:pt idx="219">
                  <c:v>8-Aug</c:v>
                </c:pt>
                <c:pt idx="220">
                  <c:v>9-Aug</c:v>
                </c:pt>
                <c:pt idx="221">
                  <c:v>10-Aug</c:v>
                </c:pt>
                <c:pt idx="222">
                  <c:v>11-Aug</c:v>
                </c:pt>
                <c:pt idx="223">
                  <c:v>12-Aug</c:v>
                </c:pt>
                <c:pt idx="224">
                  <c:v>13-Aug</c:v>
                </c:pt>
                <c:pt idx="225">
                  <c:v>14-Aug</c:v>
                </c:pt>
                <c:pt idx="226">
                  <c:v>15-Aug</c:v>
                </c:pt>
                <c:pt idx="227">
                  <c:v>16-Aug</c:v>
                </c:pt>
                <c:pt idx="228">
                  <c:v>17-Aug</c:v>
                </c:pt>
                <c:pt idx="229">
                  <c:v>18-Aug</c:v>
                </c:pt>
                <c:pt idx="230">
                  <c:v>19-Aug</c:v>
                </c:pt>
                <c:pt idx="231">
                  <c:v>20-Aug</c:v>
                </c:pt>
                <c:pt idx="232">
                  <c:v>21-Aug</c:v>
                </c:pt>
                <c:pt idx="233">
                  <c:v>22-Aug</c:v>
                </c:pt>
                <c:pt idx="234">
                  <c:v>23-Aug</c:v>
                </c:pt>
                <c:pt idx="235">
                  <c:v>24-Aug</c:v>
                </c:pt>
                <c:pt idx="236">
                  <c:v>25-Aug</c:v>
                </c:pt>
                <c:pt idx="237">
                  <c:v>26-Aug</c:v>
                </c:pt>
                <c:pt idx="238">
                  <c:v>27-Aug</c:v>
                </c:pt>
                <c:pt idx="239">
                  <c:v>28-Aug</c:v>
                </c:pt>
                <c:pt idx="240">
                  <c:v>29-Aug</c:v>
                </c:pt>
                <c:pt idx="241">
                  <c:v>30-Aug</c:v>
                </c:pt>
                <c:pt idx="242">
                  <c:v>31-Aug</c:v>
                </c:pt>
                <c:pt idx="243">
                  <c:v>1-Sep</c:v>
                </c:pt>
                <c:pt idx="244">
                  <c:v>2-Sep</c:v>
                </c:pt>
                <c:pt idx="245">
                  <c:v>3-Sep</c:v>
                </c:pt>
                <c:pt idx="246">
                  <c:v>4-Sep</c:v>
                </c:pt>
                <c:pt idx="247">
                  <c:v>5-Sep</c:v>
                </c:pt>
                <c:pt idx="248">
                  <c:v>6-Sep</c:v>
                </c:pt>
                <c:pt idx="249">
                  <c:v>7-Sep</c:v>
                </c:pt>
                <c:pt idx="250">
                  <c:v>8-Sep</c:v>
                </c:pt>
                <c:pt idx="251">
                  <c:v>9-Sep</c:v>
                </c:pt>
                <c:pt idx="252">
                  <c:v>10-Sep</c:v>
                </c:pt>
                <c:pt idx="253">
                  <c:v>11-Sep</c:v>
                </c:pt>
                <c:pt idx="254">
                  <c:v>12-Sep</c:v>
                </c:pt>
                <c:pt idx="255">
                  <c:v>13-Sep</c:v>
                </c:pt>
                <c:pt idx="256">
                  <c:v>14-Sep</c:v>
                </c:pt>
                <c:pt idx="257">
                  <c:v>15-Sep</c:v>
                </c:pt>
                <c:pt idx="258">
                  <c:v>16-Sep</c:v>
                </c:pt>
                <c:pt idx="259">
                  <c:v>17-Sep</c:v>
                </c:pt>
                <c:pt idx="260">
                  <c:v>18-Sep</c:v>
                </c:pt>
                <c:pt idx="261">
                  <c:v>19-Sep</c:v>
                </c:pt>
                <c:pt idx="262">
                  <c:v>20-Sep</c:v>
                </c:pt>
                <c:pt idx="263">
                  <c:v>21-Sep</c:v>
                </c:pt>
                <c:pt idx="264">
                  <c:v>22-Sep</c:v>
                </c:pt>
                <c:pt idx="265">
                  <c:v>23-Sep</c:v>
                </c:pt>
                <c:pt idx="266">
                  <c:v>24-Sep</c:v>
                </c:pt>
                <c:pt idx="267">
                  <c:v>25-Sep</c:v>
                </c:pt>
                <c:pt idx="268">
                  <c:v>26-Sep</c:v>
                </c:pt>
                <c:pt idx="269">
                  <c:v>27-Sep</c:v>
                </c:pt>
                <c:pt idx="270">
                  <c:v>28-Sep</c:v>
                </c:pt>
                <c:pt idx="271">
                  <c:v>29-Sep</c:v>
                </c:pt>
                <c:pt idx="272">
                  <c:v>30-Sep</c:v>
                </c:pt>
                <c:pt idx="273">
                  <c:v>1-Oct</c:v>
                </c:pt>
                <c:pt idx="274">
                  <c:v>2-Oct</c:v>
                </c:pt>
                <c:pt idx="275">
                  <c:v>3-Oct</c:v>
                </c:pt>
                <c:pt idx="276">
                  <c:v>4-Oct</c:v>
                </c:pt>
                <c:pt idx="277">
                  <c:v>5-Oct</c:v>
                </c:pt>
                <c:pt idx="278">
                  <c:v>6-Oct</c:v>
                </c:pt>
                <c:pt idx="279">
                  <c:v>7-Oct</c:v>
                </c:pt>
                <c:pt idx="280">
                  <c:v>8-Oct</c:v>
                </c:pt>
                <c:pt idx="281">
                  <c:v>9-Oct</c:v>
                </c:pt>
                <c:pt idx="282">
                  <c:v>10-Oct</c:v>
                </c:pt>
                <c:pt idx="283">
                  <c:v>11-Oct</c:v>
                </c:pt>
                <c:pt idx="284">
                  <c:v>12-Oct</c:v>
                </c:pt>
                <c:pt idx="285">
                  <c:v>13-Oct</c:v>
                </c:pt>
                <c:pt idx="286">
                  <c:v>14-Oct</c:v>
                </c:pt>
                <c:pt idx="287">
                  <c:v>15-Oct</c:v>
                </c:pt>
                <c:pt idx="288">
                  <c:v>16-Oct</c:v>
                </c:pt>
                <c:pt idx="289">
                  <c:v>17-Oct</c:v>
                </c:pt>
                <c:pt idx="290">
                  <c:v>18-Oct</c:v>
                </c:pt>
                <c:pt idx="291">
                  <c:v>19-Oct</c:v>
                </c:pt>
                <c:pt idx="292">
                  <c:v>20-Oct</c:v>
                </c:pt>
                <c:pt idx="293">
                  <c:v>21-Oct</c:v>
                </c:pt>
                <c:pt idx="294">
                  <c:v>22-Oct</c:v>
                </c:pt>
                <c:pt idx="295">
                  <c:v>23-Oct</c:v>
                </c:pt>
                <c:pt idx="296">
                  <c:v>24-Oct</c:v>
                </c:pt>
                <c:pt idx="297">
                  <c:v>25-Oct</c:v>
                </c:pt>
                <c:pt idx="298">
                  <c:v>26-Oct</c:v>
                </c:pt>
                <c:pt idx="299">
                  <c:v>27-Oct</c:v>
                </c:pt>
                <c:pt idx="300">
                  <c:v>28-Oct</c:v>
                </c:pt>
                <c:pt idx="301">
                  <c:v>29-Oct</c:v>
                </c:pt>
                <c:pt idx="302">
                  <c:v>30-Oct</c:v>
                </c:pt>
                <c:pt idx="303">
                  <c:v>31-Oct</c:v>
                </c:pt>
                <c:pt idx="304">
                  <c:v>1-Nov</c:v>
                </c:pt>
                <c:pt idx="305">
                  <c:v>2-Nov</c:v>
                </c:pt>
                <c:pt idx="306">
                  <c:v>3-Nov</c:v>
                </c:pt>
                <c:pt idx="307">
                  <c:v>4-Nov</c:v>
                </c:pt>
                <c:pt idx="308">
                  <c:v>5-Nov</c:v>
                </c:pt>
                <c:pt idx="309">
                  <c:v>6-Nov</c:v>
                </c:pt>
                <c:pt idx="310">
                  <c:v>7-Nov</c:v>
                </c:pt>
                <c:pt idx="311">
                  <c:v>8-Nov</c:v>
                </c:pt>
                <c:pt idx="312">
                  <c:v>9-Nov</c:v>
                </c:pt>
                <c:pt idx="313">
                  <c:v>10-Nov</c:v>
                </c:pt>
                <c:pt idx="314">
                  <c:v>11-Nov</c:v>
                </c:pt>
                <c:pt idx="315">
                  <c:v>12-Nov</c:v>
                </c:pt>
                <c:pt idx="316">
                  <c:v>13-Nov</c:v>
                </c:pt>
                <c:pt idx="317">
                  <c:v>14-Nov</c:v>
                </c:pt>
                <c:pt idx="318">
                  <c:v>15-Nov</c:v>
                </c:pt>
                <c:pt idx="319">
                  <c:v>16-Nov</c:v>
                </c:pt>
                <c:pt idx="320">
                  <c:v>17-Nov</c:v>
                </c:pt>
                <c:pt idx="321">
                  <c:v>18-Nov</c:v>
                </c:pt>
                <c:pt idx="322">
                  <c:v>19-Nov</c:v>
                </c:pt>
                <c:pt idx="323">
                  <c:v>20-Nov</c:v>
                </c:pt>
                <c:pt idx="324">
                  <c:v>21-Nov</c:v>
                </c:pt>
                <c:pt idx="325">
                  <c:v>22-Nov</c:v>
                </c:pt>
                <c:pt idx="326">
                  <c:v>23-Nov</c:v>
                </c:pt>
                <c:pt idx="327">
                  <c:v>24-Nov</c:v>
                </c:pt>
                <c:pt idx="328">
                  <c:v>25-Nov</c:v>
                </c:pt>
                <c:pt idx="329">
                  <c:v>26-Nov</c:v>
                </c:pt>
                <c:pt idx="330">
                  <c:v>27-Nov</c:v>
                </c:pt>
                <c:pt idx="331">
                  <c:v>28-Nov</c:v>
                </c:pt>
                <c:pt idx="332">
                  <c:v>29-Nov</c:v>
                </c:pt>
                <c:pt idx="333">
                  <c:v>30-Nov</c:v>
                </c:pt>
                <c:pt idx="334">
                  <c:v>1-Dec</c:v>
                </c:pt>
                <c:pt idx="335">
                  <c:v>2-Dec</c:v>
                </c:pt>
                <c:pt idx="336">
                  <c:v>3-Dec</c:v>
                </c:pt>
                <c:pt idx="337">
                  <c:v>4-Dec</c:v>
                </c:pt>
                <c:pt idx="338">
                  <c:v>5-Dec</c:v>
                </c:pt>
                <c:pt idx="339">
                  <c:v>6-Dec</c:v>
                </c:pt>
                <c:pt idx="340">
                  <c:v>8-Dec</c:v>
                </c:pt>
                <c:pt idx="341">
                  <c:v>9-Dec</c:v>
                </c:pt>
                <c:pt idx="342">
                  <c:v>10-Dec</c:v>
                </c:pt>
                <c:pt idx="343">
                  <c:v>11-Dec</c:v>
                </c:pt>
                <c:pt idx="344">
                  <c:v>12-Dec</c:v>
                </c:pt>
                <c:pt idx="345">
                  <c:v>13-Dec</c:v>
                </c:pt>
                <c:pt idx="346">
                  <c:v>14-Dec</c:v>
                </c:pt>
                <c:pt idx="347">
                  <c:v>15-Dec</c:v>
                </c:pt>
                <c:pt idx="348">
                  <c:v>16-Dec</c:v>
                </c:pt>
                <c:pt idx="349">
                  <c:v>17-Dec</c:v>
                </c:pt>
                <c:pt idx="350">
                  <c:v>18-Dec</c:v>
                </c:pt>
                <c:pt idx="351">
                  <c:v>19-Dec</c:v>
                </c:pt>
                <c:pt idx="352">
                  <c:v>20-Dec</c:v>
                </c:pt>
                <c:pt idx="353">
                  <c:v>21-Dec</c:v>
                </c:pt>
                <c:pt idx="354">
                  <c:v>22-Dec</c:v>
                </c:pt>
                <c:pt idx="355">
                  <c:v>23-Dec</c:v>
                </c:pt>
                <c:pt idx="356">
                  <c:v>24-Dec</c:v>
                </c:pt>
                <c:pt idx="357">
                  <c:v>25-Dec</c:v>
                </c:pt>
                <c:pt idx="358">
                  <c:v>26-Dec</c:v>
                </c:pt>
                <c:pt idx="359">
                  <c:v>27-Dec</c:v>
                </c:pt>
                <c:pt idx="360">
                  <c:v>28-Dec</c:v>
                </c:pt>
                <c:pt idx="361">
                  <c:v>29-Dec</c:v>
                </c:pt>
                <c:pt idx="362">
                  <c:v>30-Dec</c:v>
                </c:pt>
              </c:strCache>
            </c:strRef>
          </c:cat>
          <c:val>
            <c:numRef>
              <c:f>'Pivot report'!$N$6:$N$369</c:f>
              <c:numCache>
                <c:formatCode>0</c:formatCode>
                <c:ptCount val="363"/>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pt idx="31">
                  <c:v>4.166666666666667</c:v>
                </c:pt>
                <c:pt idx="32">
                  <c:v>5.75</c:v>
                </c:pt>
                <c:pt idx="33">
                  <c:v>4.75</c:v>
                </c:pt>
                <c:pt idx="34">
                  <c:v>7</c:v>
                </c:pt>
                <c:pt idx="35">
                  <c:v>3.1428571428571428</c:v>
                </c:pt>
                <c:pt idx="36">
                  <c:v>8</c:v>
                </c:pt>
                <c:pt idx="37">
                  <c:v>5.25</c:v>
                </c:pt>
                <c:pt idx="38">
                  <c:v>4.5714285714285712</c:v>
                </c:pt>
                <c:pt idx="39">
                  <c:v>2.75</c:v>
                </c:pt>
                <c:pt idx="40">
                  <c:v>4.5</c:v>
                </c:pt>
                <c:pt idx="41">
                  <c:v>5.5</c:v>
                </c:pt>
                <c:pt idx="42">
                  <c:v>5.6</c:v>
                </c:pt>
                <c:pt idx="43">
                  <c:v>5.75</c:v>
                </c:pt>
                <c:pt idx="44">
                  <c:v>3.4444444444444446</c:v>
                </c:pt>
                <c:pt idx="45">
                  <c:v>1.5</c:v>
                </c:pt>
                <c:pt idx="46">
                  <c:v>3.6666666666666665</c:v>
                </c:pt>
                <c:pt idx="47">
                  <c:v>4.4285714285714288</c:v>
                </c:pt>
                <c:pt idx="48">
                  <c:v>6</c:v>
                </c:pt>
                <c:pt idx="49">
                  <c:v>2.6666666666666665</c:v>
                </c:pt>
                <c:pt idx="50">
                  <c:v>7.5</c:v>
                </c:pt>
                <c:pt idx="51">
                  <c:v>4.5</c:v>
                </c:pt>
                <c:pt idx="52">
                  <c:v>8</c:v>
                </c:pt>
                <c:pt idx="53">
                  <c:v>4.3636363636363633</c:v>
                </c:pt>
                <c:pt idx="54">
                  <c:v>0</c:v>
                </c:pt>
                <c:pt idx="55">
                  <c:v>10</c:v>
                </c:pt>
                <c:pt idx="56">
                  <c:v>6.75</c:v>
                </c:pt>
                <c:pt idx="57">
                  <c:v>7</c:v>
                </c:pt>
                <c:pt idx="58">
                  <c:v>3.3333333333333335</c:v>
                </c:pt>
                <c:pt idx="59">
                  <c:v>7.2</c:v>
                </c:pt>
                <c:pt idx="60">
                  <c:v>6</c:v>
                </c:pt>
                <c:pt idx="61">
                  <c:v>1.5</c:v>
                </c:pt>
                <c:pt idx="62">
                  <c:v>2.75</c:v>
                </c:pt>
                <c:pt idx="63">
                  <c:v>5</c:v>
                </c:pt>
                <c:pt idx="64">
                  <c:v>5.5</c:v>
                </c:pt>
                <c:pt idx="65">
                  <c:v>5.0909090909090908</c:v>
                </c:pt>
                <c:pt idx="66">
                  <c:v>7.666666666666667</c:v>
                </c:pt>
                <c:pt idx="67">
                  <c:v>3.5</c:v>
                </c:pt>
                <c:pt idx="68">
                  <c:v>3.6666666666666665</c:v>
                </c:pt>
                <c:pt idx="69">
                  <c:v>3.8</c:v>
                </c:pt>
                <c:pt idx="70">
                  <c:v>1</c:v>
                </c:pt>
                <c:pt idx="71">
                  <c:v>7</c:v>
                </c:pt>
                <c:pt idx="72">
                  <c:v>5</c:v>
                </c:pt>
                <c:pt idx="73">
                  <c:v>4.25</c:v>
                </c:pt>
                <c:pt idx="74">
                  <c:v>4</c:v>
                </c:pt>
                <c:pt idx="75">
                  <c:v>7.333333333333333</c:v>
                </c:pt>
                <c:pt idx="76">
                  <c:v>9</c:v>
                </c:pt>
                <c:pt idx="77">
                  <c:v>5.25</c:v>
                </c:pt>
                <c:pt idx="78">
                  <c:v>6.6</c:v>
                </c:pt>
                <c:pt idx="79">
                  <c:v>6.25</c:v>
                </c:pt>
                <c:pt idx="80">
                  <c:v>6.333333333333333</c:v>
                </c:pt>
                <c:pt idx="81">
                  <c:v>7</c:v>
                </c:pt>
                <c:pt idx="82">
                  <c:v>5.666666666666667</c:v>
                </c:pt>
                <c:pt idx="83">
                  <c:v>3.3333333333333335</c:v>
                </c:pt>
                <c:pt idx="84">
                  <c:v>4.75</c:v>
                </c:pt>
                <c:pt idx="85">
                  <c:v>2</c:v>
                </c:pt>
                <c:pt idx="86">
                  <c:v>9.25</c:v>
                </c:pt>
                <c:pt idx="87">
                  <c:v>2.6666666666666665</c:v>
                </c:pt>
                <c:pt idx="88">
                  <c:v>4</c:v>
                </c:pt>
                <c:pt idx="89">
                  <c:v>8.75</c:v>
                </c:pt>
                <c:pt idx="90">
                  <c:v>3.8</c:v>
                </c:pt>
                <c:pt idx="91">
                  <c:v>6</c:v>
                </c:pt>
                <c:pt idx="92">
                  <c:v>4.5999999999999996</c:v>
                </c:pt>
                <c:pt idx="93">
                  <c:v>5.7142857142857144</c:v>
                </c:pt>
                <c:pt idx="94">
                  <c:v>4.666666666666667</c:v>
                </c:pt>
                <c:pt idx="95">
                  <c:v>3.4</c:v>
                </c:pt>
                <c:pt idx="96">
                  <c:v>5</c:v>
                </c:pt>
                <c:pt idx="97">
                  <c:v>5.8571428571428568</c:v>
                </c:pt>
                <c:pt idx="98">
                  <c:v>4.8888888888888893</c:v>
                </c:pt>
                <c:pt idx="99">
                  <c:v>6</c:v>
                </c:pt>
                <c:pt idx="100">
                  <c:v>4.7142857142857144</c:v>
                </c:pt>
                <c:pt idx="101">
                  <c:v>7.1428571428571432</c:v>
                </c:pt>
                <c:pt idx="102">
                  <c:v>4.333333333333333</c:v>
                </c:pt>
                <c:pt idx="103">
                  <c:v>6.7333333333333334</c:v>
                </c:pt>
                <c:pt idx="104">
                  <c:v>5.2857142857142856</c:v>
                </c:pt>
                <c:pt idx="105">
                  <c:v>4.916666666666667</c:v>
                </c:pt>
                <c:pt idx="106">
                  <c:v>4.333333333333333</c:v>
                </c:pt>
                <c:pt idx="107">
                  <c:v>5.333333333333333</c:v>
                </c:pt>
                <c:pt idx="108">
                  <c:v>4.3636363636363633</c:v>
                </c:pt>
                <c:pt idx="109">
                  <c:v>2.9090909090909092</c:v>
                </c:pt>
                <c:pt idx="110">
                  <c:v>4.5</c:v>
                </c:pt>
                <c:pt idx="111">
                  <c:v>6.1</c:v>
                </c:pt>
                <c:pt idx="112">
                  <c:v>6.666666666666667</c:v>
                </c:pt>
                <c:pt idx="113">
                  <c:v>5</c:v>
                </c:pt>
                <c:pt idx="114">
                  <c:v>2.5555555555555554</c:v>
                </c:pt>
                <c:pt idx="115">
                  <c:v>5.5714285714285712</c:v>
                </c:pt>
                <c:pt idx="116">
                  <c:v>4.8461538461538458</c:v>
                </c:pt>
                <c:pt idx="117">
                  <c:v>4.8888888888888893</c:v>
                </c:pt>
                <c:pt idx="118">
                  <c:v>4.8</c:v>
                </c:pt>
                <c:pt idx="119">
                  <c:v>5.375</c:v>
                </c:pt>
                <c:pt idx="120">
                  <c:v>6.8571428571428568</c:v>
                </c:pt>
                <c:pt idx="121">
                  <c:v>4.3636363636363633</c:v>
                </c:pt>
                <c:pt idx="122">
                  <c:v>6.416666666666667</c:v>
                </c:pt>
                <c:pt idx="123">
                  <c:v>5.5384615384615383</c:v>
                </c:pt>
                <c:pt idx="124">
                  <c:v>5</c:v>
                </c:pt>
                <c:pt idx="125">
                  <c:v>4.9090909090909092</c:v>
                </c:pt>
                <c:pt idx="126">
                  <c:v>3.3</c:v>
                </c:pt>
                <c:pt idx="127">
                  <c:v>4.7</c:v>
                </c:pt>
                <c:pt idx="128">
                  <c:v>4.666666666666667</c:v>
                </c:pt>
                <c:pt idx="129">
                  <c:v>4.875</c:v>
                </c:pt>
                <c:pt idx="130">
                  <c:v>5.333333333333333</c:v>
                </c:pt>
                <c:pt idx="131">
                  <c:v>4.125</c:v>
                </c:pt>
                <c:pt idx="132">
                  <c:v>6</c:v>
                </c:pt>
                <c:pt idx="133">
                  <c:v>4.3</c:v>
                </c:pt>
                <c:pt idx="134">
                  <c:v>4.2</c:v>
                </c:pt>
                <c:pt idx="135">
                  <c:v>6.8666666666666663</c:v>
                </c:pt>
                <c:pt idx="136">
                  <c:v>6.2857142857142856</c:v>
                </c:pt>
                <c:pt idx="137">
                  <c:v>4.0909090909090908</c:v>
                </c:pt>
                <c:pt idx="138">
                  <c:v>4</c:v>
                </c:pt>
                <c:pt idx="139">
                  <c:v>5.4285714285714288</c:v>
                </c:pt>
                <c:pt idx="140">
                  <c:v>5.8</c:v>
                </c:pt>
                <c:pt idx="141">
                  <c:v>4.5625</c:v>
                </c:pt>
                <c:pt idx="142">
                  <c:v>4.5454545454545459</c:v>
                </c:pt>
                <c:pt idx="143">
                  <c:v>5.75</c:v>
                </c:pt>
                <c:pt idx="144">
                  <c:v>5.2</c:v>
                </c:pt>
                <c:pt idx="145">
                  <c:v>7.25</c:v>
                </c:pt>
                <c:pt idx="146">
                  <c:v>4.8</c:v>
                </c:pt>
                <c:pt idx="147">
                  <c:v>4.5384615384615383</c:v>
                </c:pt>
                <c:pt idx="148">
                  <c:v>4.5999999999999996</c:v>
                </c:pt>
                <c:pt idx="149">
                  <c:v>5</c:v>
                </c:pt>
                <c:pt idx="150">
                  <c:v>7</c:v>
                </c:pt>
                <c:pt idx="151">
                  <c:v>4.7777777777777777</c:v>
                </c:pt>
                <c:pt idx="152">
                  <c:v>5.2727272727272725</c:v>
                </c:pt>
                <c:pt idx="153">
                  <c:v>4.2727272727272725</c:v>
                </c:pt>
                <c:pt idx="154">
                  <c:v>5</c:v>
                </c:pt>
                <c:pt idx="155">
                  <c:v>4.3571428571428568</c:v>
                </c:pt>
                <c:pt idx="156">
                  <c:v>4.8571428571428568</c:v>
                </c:pt>
                <c:pt idx="157">
                  <c:v>5.125</c:v>
                </c:pt>
                <c:pt idx="158">
                  <c:v>5</c:v>
                </c:pt>
                <c:pt idx="159">
                  <c:v>5.2222222222222223</c:v>
                </c:pt>
                <c:pt idx="160">
                  <c:v>4.2222222222222223</c:v>
                </c:pt>
                <c:pt idx="161">
                  <c:v>4.8571428571428568</c:v>
                </c:pt>
                <c:pt idx="162">
                  <c:v>3.8888888888888888</c:v>
                </c:pt>
                <c:pt idx="163">
                  <c:v>4</c:v>
                </c:pt>
                <c:pt idx="164">
                  <c:v>5</c:v>
                </c:pt>
                <c:pt idx="165">
                  <c:v>5.7777777777777777</c:v>
                </c:pt>
                <c:pt idx="166">
                  <c:v>2.6</c:v>
                </c:pt>
                <c:pt idx="167">
                  <c:v>6.5</c:v>
                </c:pt>
                <c:pt idx="168">
                  <c:v>3.8181818181818183</c:v>
                </c:pt>
                <c:pt idx="169">
                  <c:v>4.4000000000000004</c:v>
                </c:pt>
                <c:pt idx="170">
                  <c:v>4.5</c:v>
                </c:pt>
                <c:pt idx="171">
                  <c:v>4.625</c:v>
                </c:pt>
                <c:pt idx="172">
                  <c:v>4.5</c:v>
                </c:pt>
                <c:pt idx="173">
                  <c:v>5.833333333333333</c:v>
                </c:pt>
                <c:pt idx="174">
                  <c:v>4.666666666666667</c:v>
                </c:pt>
                <c:pt idx="175">
                  <c:v>4.666666666666667</c:v>
                </c:pt>
                <c:pt idx="176">
                  <c:v>6.75</c:v>
                </c:pt>
                <c:pt idx="177">
                  <c:v>5.7</c:v>
                </c:pt>
                <c:pt idx="178">
                  <c:v>5.5</c:v>
                </c:pt>
                <c:pt idx="179">
                  <c:v>6.2222222222222223</c:v>
                </c:pt>
                <c:pt idx="180">
                  <c:v>5.833333333333333</c:v>
                </c:pt>
                <c:pt idx="181">
                  <c:v>3.7</c:v>
                </c:pt>
                <c:pt idx="182">
                  <c:v>5.8</c:v>
                </c:pt>
                <c:pt idx="183">
                  <c:v>4</c:v>
                </c:pt>
                <c:pt idx="184">
                  <c:v>2</c:v>
                </c:pt>
                <c:pt idx="185">
                  <c:v>6</c:v>
                </c:pt>
                <c:pt idx="186">
                  <c:v>5</c:v>
                </c:pt>
                <c:pt idx="187">
                  <c:v>5.1111111111111107</c:v>
                </c:pt>
                <c:pt idx="188">
                  <c:v>3.8571428571428572</c:v>
                </c:pt>
                <c:pt idx="189">
                  <c:v>6.5714285714285712</c:v>
                </c:pt>
                <c:pt idx="190">
                  <c:v>5.2857142857142856</c:v>
                </c:pt>
                <c:pt idx="191">
                  <c:v>5.5</c:v>
                </c:pt>
                <c:pt idx="192">
                  <c:v>4.8181818181818183</c:v>
                </c:pt>
                <c:pt idx="193">
                  <c:v>5</c:v>
                </c:pt>
                <c:pt idx="194">
                  <c:v>3.2222222222222223</c:v>
                </c:pt>
                <c:pt idx="195">
                  <c:v>6.333333333333333</c:v>
                </c:pt>
                <c:pt idx="196">
                  <c:v>3.8</c:v>
                </c:pt>
                <c:pt idx="197">
                  <c:v>3.1111111111111112</c:v>
                </c:pt>
                <c:pt idx="198">
                  <c:v>2.8333333333333335</c:v>
                </c:pt>
                <c:pt idx="199">
                  <c:v>6.625</c:v>
                </c:pt>
                <c:pt idx="200">
                  <c:v>3.5</c:v>
                </c:pt>
                <c:pt idx="201">
                  <c:v>5.166666666666667</c:v>
                </c:pt>
                <c:pt idx="202">
                  <c:v>5.333333333333333</c:v>
                </c:pt>
                <c:pt idx="203">
                  <c:v>4.875</c:v>
                </c:pt>
                <c:pt idx="204">
                  <c:v>4.5</c:v>
                </c:pt>
                <c:pt idx="205">
                  <c:v>4.625</c:v>
                </c:pt>
                <c:pt idx="206">
                  <c:v>5</c:v>
                </c:pt>
                <c:pt idx="207">
                  <c:v>6.8181818181818183</c:v>
                </c:pt>
                <c:pt idx="208">
                  <c:v>6.375</c:v>
                </c:pt>
                <c:pt idx="209">
                  <c:v>4.615384615384615</c:v>
                </c:pt>
                <c:pt idx="210">
                  <c:v>5.5454545454545459</c:v>
                </c:pt>
                <c:pt idx="211">
                  <c:v>6.9090909090909092</c:v>
                </c:pt>
                <c:pt idx="212">
                  <c:v>5.2</c:v>
                </c:pt>
                <c:pt idx="213">
                  <c:v>4.4444444444444446</c:v>
                </c:pt>
                <c:pt idx="214">
                  <c:v>6.2727272727272725</c:v>
                </c:pt>
                <c:pt idx="215">
                  <c:v>4.5999999999999996</c:v>
                </c:pt>
                <c:pt idx="216">
                  <c:v>5.5</c:v>
                </c:pt>
                <c:pt idx="217">
                  <c:v>5.4285714285714288</c:v>
                </c:pt>
                <c:pt idx="218">
                  <c:v>9.5</c:v>
                </c:pt>
                <c:pt idx="219">
                  <c:v>2.1666666666666665</c:v>
                </c:pt>
                <c:pt idx="220">
                  <c:v>5.333333333333333</c:v>
                </c:pt>
                <c:pt idx="221">
                  <c:v>4.1428571428571432</c:v>
                </c:pt>
                <c:pt idx="222">
                  <c:v>2.75</c:v>
                </c:pt>
                <c:pt idx="223">
                  <c:v>4.4000000000000004</c:v>
                </c:pt>
                <c:pt idx="224">
                  <c:v>5.5</c:v>
                </c:pt>
                <c:pt idx="225">
                  <c:v>6.4</c:v>
                </c:pt>
                <c:pt idx="226">
                  <c:v>5.25</c:v>
                </c:pt>
                <c:pt idx="227">
                  <c:v>6</c:v>
                </c:pt>
                <c:pt idx="228">
                  <c:v>5.1428571428571432</c:v>
                </c:pt>
                <c:pt idx="229">
                  <c:v>5.25</c:v>
                </c:pt>
                <c:pt idx="230">
                  <c:v>6</c:v>
                </c:pt>
                <c:pt idx="231">
                  <c:v>5.4375</c:v>
                </c:pt>
                <c:pt idx="232">
                  <c:v>4.5</c:v>
                </c:pt>
                <c:pt idx="233">
                  <c:v>4.7142857142857144</c:v>
                </c:pt>
                <c:pt idx="234">
                  <c:v>7.375</c:v>
                </c:pt>
                <c:pt idx="235">
                  <c:v>4.1428571428571432</c:v>
                </c:pt>
                <c:pt idx="236">
                  <c:v>5.2222222222222223</c:v>
                </c:pt>
                <c:pt idx="237">
                  <c:v>3.375</c:v>
                </c:pt>
                <c:pt idx="238">
                  <c:v>6</c:v>
                </c:pt>
                <c:pt idx="239">
                  <c:v>5.6</c:v>
                </c:pt>
                <c:pt idx="240">
                  <c:v>3.75</c:v>
                </c:pt>
                <c:pt idx="241">
                  <c:v>4.8571428571428568</c:v>
                </c:pt>
                <c:pt idx="242">
                  <c:v>5.5</c:v>
                </c:pt>
                <c:pt idx="243">
                  <c:v>4</c:v>
                </c:pt>
                <c:pt idx="244">
                  <c:v>4.625</c:v>
                </c:pt>
                <c:pt idx="245">
                  <c:v>3.75</c:v>
                </c:pt>
                <c:pt idx="246">
                  <c:v>6.333333333333333</c:v>
                </c:pt>
                <c:pt idx="247">
                  <c:v>6.4</c:v>
                </c:pt>
                <c:pt idx="248">
                  <c:v>5.0999999999999996</c:v>
                </c:pt>
                <c:pt idx="249">
                  <c:v>4.1428571428571432</c:v>
                </c:pt>
                <c:pt idx="250">
                  <c:v>5.8</c:v>
                </c:pt>
                <c:pt idx="251">
                  <c:v>3.8333333333333335</c:v>
                </c:pt>
                <c:pt idx="252">
                  <c:v>4</c:v>
                </c:pt>
                <c:pt idx="253">
                  <c:v>6.833333333333333</c:v>
                </c:pt>
                <c:pt idx="254">
                  <c:v>4.833333333333333</c:v>
                </c:pt>
                <c:pt idx="255">
                  <c:v>4</c:v>
                </c:pt>
                <c:pt idx="256">
                  <c:v>5.7142857142857144</c:v>
                </c:pt>
                <c:pt idx="257">
                  <c:v>4.384615384615385</c:v>
                </c:pt>
                <c:pt idx="258">
                  <c:v>5.5</c:v>
                </c:pt>
                <c:pt idx="259">
                  <c:v>5.8888888888888893</c:v>
                </c:pt>
                <c:pt idx="260">
                  <c:v>6.1818181818181817</c:v>
                </c:pt>
                <c:pt idx="261">
                  <c:v>4</c:v>
                </c:pt>
                <c:pt idx="262">
                  <c:v>4.333333333333333</c:v>
                </c:pt>
                <c:pt idx="263">
                  <c:v>4.8461538461538458</c:v>
                </c:pt>
                <c:pt idx="264">
                  <c:v>3</c:v>
                </c:pt>
                <c:pt idx="265">
                  <c:v>3.8333333333333335</c:v>
                </c:pt>
                <c:pt idx="266">
                  <c:v>6.5</c:v>
                </c:pt>
                <c:pt idx="267">
                  <c:v>5.7</c:v>
                </c:pt>
                <c:pt idx="268">
                  <c:v>4.5714285714285712</c:v>
                </c:pt>
                <c:pt idx="269">
                  <c:v>3.2727272727272729</c:v>
                </c:pt>
                <c:pt idx="270">
                  <c:v>3</c:v>
                </c:pt>
                <c:pt idx="271">
                  <c:v>7.2857142857142856</c:v>
                </c:pt>
                <c:pt idx="272">
                  <c:v>5.7142857142857144</c:v>
                </c:pt>
                <c:pt idx="273">
                  <c:v>4.833333333333333</c:v>
                </c:pt>
                <c:pt idx="274">
                  <c:v>4.5</c:v>
                </c:pt>
                <c:pt idx="275">
                  <c:v>3.6666666666666665</c:v>
                </c:pt>
                <c:pt idx="276">
                  <c:v>5.4444444444444446</c:v>
                </c:pt>
                <c:pt idx="277">
                  <c:v>4.2857142857142856</c:v>
                </c:pt>
                <c:pt idx="278">
                  <c:v>3.3333333333333335</c:v>
                </c:pt>
                <c:pt idx="279">
                  <c:v>7.1428571428571432</c:v>
                </c:pt>
                <c:pt idx="280">
                  <c:v>4</c:v>
                </c:pt>
                <c:pt idx="281">
                  <c:v>5</c:v>
                </c:pt>
                <c:pt idx="282">
                  <c:v>8.5</c:v>
                </c:pt>
                <c:pt idx="283">
                  <c:v>5.3636363636363633</c:v>
                </c:pt>
                <c:pt idx="284">
                  <c:v>3.2222222222222223</c:v>
                </c:pt>
                <c:pt idx="285">
                  <c:v>3.8888888888888888</c:v>
                </c:pt>
                <c:pt idx="286">
                  <c:v>5.4615384615384617</c:v>
                </c:pt>
                <c:pt idx="287">
                  <c:v>5.9090909090909092</c:v>
                </c:pt>
                <c:pt idx="288">
                  <c:v>6.625</c:v>
                </c:pt>
                <c:pt idx="289">
                  <c:v>6.4545454545454541</c:v>
                </c:pt>
                <c:pt idx="290">
                  <c:v>5.166666666666667</c:v>
                </c:pt>
                <c:pt idx="291">
                  <c:v>6.7</c:v>
                </c:pt>
                <c:pt idx="292">
                  <c:v>3.75</c:v>
                </c:pt>
                <c:pt idx="293">
                  <c:v>4.8461538461538458</c:v>
                </c:pt>
                <c:pt idx="294">
                  <c:v>4.6363636363636367</c:v>
                </c:pt>
                <c:pt idx="295">
                  <c:v>5.1111111111111107</c:v>
                </c:pt>
                <c:pt idx="296">
                  <c:v>7.375</c:v>
                </c:pt>
                <c:pt idx="297">
                  <c:v>4.4444444444444446</c:v>
                </c:pt>
                <c:pt idx="298">
                  <c:v>3.8888888888888888</c:v>
                </c:pt>
                <c:pt idx="299">
                  <c:v>5.8888888888888893</c:v>
                </c:pt>
                <c:pt idx="300">
                  <c:v>4</c:v>
                </c:pt>
                <c:pt idx="301">
                  <c:v>3.75</c:v>
                </c:pt>
                <c:pt idx="302">
                  <c:v>4.625</c:v>
                </c:pt>
                <c:pt idx="303">
                  <c:v>5</c:v>
                </c:pt>
                <c:pt idx="304">
                  <c:v>4.666666666666667</c:v>
                </c:pt>
                <c:pt idx="305">
                  <c:v>4.666666666666667</c:v>
                </c:pt>
                <c:pt idx="306">
                  <c:v>5.4</c:v>
                </c:pt>
                <c:pt idx="307">
                  <c:v>5.2</c:v>
                </c:pt>
                <c:pt idx="308">
                  <c:v>2.4285714285714284</c:v>
                </c:pt>
                <c:pt idx="309">
                  <c:v>4.8</c:v>
                </c:pt>
                <c:pt idx="310">
                  <c:v>6.5714285714285712</c:v>
                </c:pt>
                <c:pt idx="311">
                  <c:v>3</c:v>
                </c:pt>
                <c:pt idx="312">
                  <c:v>4.5999999999999996</c:v>
                </c:pt>
                <c:pt idx="313">
                  <c:v>3.875</c:v>
                </c:pt>
                <c:pt idx="314">
                  <c:v>7.25</c:v>
                </c:pt>
                <c:pt idx="315">
                  <c:v>3</c:v>
                </c:pt>
                <c:pt idx="316">
                  <c:v>8</c:v>
                </c:pt>
                <c:pt idx="317">
                  <c:v>6</c:v>
                </c:pt>
                <c:pt idx="318">
                  <c:v>3.6666666666666665</c:v>
                </c:pt>
                <c:pt idx="319">
                  <c:v>5.333333333333333</c:v>
                </c:pt>
                <c:pt idx="320">
                  <c:v>6.1111111111111107</c:v>
                </c:pt>
                <c:pt idx="321">
                  <c:v>6.5</c:v>
                </c:pt>
                <c:pt idx="322">
                  <c:v>5</c:v>
                </c:pt>
                <c:pt idx="323">
                  <c:v>5.8</c:v>
                </c:pt>
                <c:pt idx="324">
                  <c:v>6</c:v>
                </c:pt>
                <c:pt idx="325">
                  <c:v>8</c:v>
                </c:pt>
                <c:pt idx="326">
                  <c:v>7</c:v>
                </c:pt>
                <c:pt idx="327">
                  <c:v>3.75</c:v>
                </c:pt>
                <c:pt idx="328">
                  <c:v>1</c:v>
                </c:pt>
                <c:pt idx="329">
                  <c:v>9</c:v>
                </c:pt>
                <c:pt idx="330">
                  <c:v>5.8</c:v>
                </c:pt>
                <c:pt idx="331">
                  <c:v>4</c:v>
                </c:pt>
                <c:pt idx="332">
                  <c:v>6.4</c:v>
                </c:pt>
                <c:pt idx="333">
                  <c:v>5</c:v>
                </c:pt>
                <c:pt idx="334">
                  <c:v>9</c:v>
                </c:pt>
                <c:pt idx="335">
                  <c:v>4.4000000000000004</c:v>
                </c:pt>
                <c:pt idx="336">
                  <c:v>4</c:v>
                </c:pt>
                <c:pt idx="337">
                  <c:v>0</c:v>
                </c:pt>
                <c:pt idx="338">
                  <c:v>2.875</c:v>
                </c:pt>
                <c:pt idx="339">
                  <c:v>5.25</c:v>
                </c:pt>
                <c:pt idx="340">
                  <c:v>6</c:v>
                </c:pt>
                <c:pt idx="341">
                  <c:v>6.5</c:v>
                </c:pt>
                <c:pt idx="342">
                  <c:v>5.5</c:v>
                </c:pt>
                <c:pt idx="343">
                  <c:v>5.666666666666667</c:v>
                </c:pt>
                <c:pt idx="344">
                  <c:v>5.25</c:v>
                </c:pt>
                <c:pt idx="345">
                  <c:v>7.25</c:v>
                </c:pt>
                <c:pt idx="346">
                  <c:v>6</c:v>
                </c:pt>
                <c:pt idx="347">
                  <c:v>4.5999999999999996</c:v>
                </c:pt>
                <c:pt idx="348">
                  <c:v>8</c:v>
                </c:pt>
                <c:pt idx="349">
                  <c:v>3.6666666666666665</c:v>
                </c:pt>
                <c:pt idx="350">
                  <c:v>2.4285714285714284</c:v>
                </c:pt>
                <c:pt idx="351">
                  <c:v>9</c:v>
                </c:pt>
                <c:pt idx="352">
                  <c:v>6</c:v>
                </c:pt>
                <c:pt idx="353">
                  <c:v>4</c:v>
                </c:pt>
                <c:pt idx="354">
                  <c:v>4.833333333333333</c:v>
                </c:pt>
                <c:pt idx="355">
                  <c:v>3.6</c:v>
                </c:pt>
                <c:pt idx="356">
                  <c:v>5</c:v>
                </c:pt>
                <c:pt idx="357">
                  <c:v>5.25</c:v>
                </c:pt>
                <c:pt idx="358">
                  <c:v>3.2</c:v>
                </c:pt>
                <c:pt idx="359">
                  <c:v>5.5</c:v>
                </c:pt>
                <c:pt idx="360">
                  <c:v>3</c:v>
                </c:pt>
                <c:pt idx="361">
                  <c:v>3.9090909090909092</c:v>
                </c:pt>
                <c:pt idx="362">
                  <c:v>2.6666666666666665</c:v>
                </c:pt>
              </c:numCache>
            </c:numRef>
          </c:val>
          <c:extLst>
            <c:ext xmlns:c16="http://schemas.microsoft.com/office/drawing/2014/chart" uri="{C3380CC4-5D6E-409C-BE32-E72D297353CC}">
              <c16:uniqueId val="{00000000-A44F-42D1-B951-C549A9F2641E}"/>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453315792"/>
        <c:axId val="453320112"/>
      </c:areaChart>
      <c:catAx>
        <c:axId val="45331579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5400000" spcFirstLastPara="1" vertOverflow="ellipsis" wrap="square" anchor="ctr" anchorCtr="1"/>
          <a:lstStyle/>
          <a:p>
            <a:pPr>
              <a:defRPr sz="900" b="0" i="0" u="none" strike="noStrike" kern="1200" baseline="0">
                <a:solidFill>
                  <a:schemeClr val="lt1"/>
                </a:solidFill>
                <a:latin typeface="+mn-lt"/>
                <a:ea typeface="+mn-ea"/>
                <a:cs typeface="+mn-cs"/>
              </a:defRPr>
            </a:pPr>
            <a:endParaRPr lang="en-US"/>
          </a:p>
        </c:txPr>
        <c:crossAx val="453320112"/>
        <c:crosses val="autoZero"/>
        <c:auto val="1"/>
        <c:lblAlgn val="ctr"/>
        <c:lblOffset val="100"/>
        <c:noMultiLvlLbl val="0"/>
      </c:catAx>
      <c:valAx>
        <c:axId val="453320112"/>
        <c:scaling>
          <c:orientation val="minMax"/>
        </c:scaling>
        <c:delete val="1"/>
        <c:axPos val="l"/>
        <c:numFmt formatCode="0" sourceLinked="1"/>
        <c:majorTickMark val="out"/>
        <c:minorTickMark val="none"/>
        <c:tickLblPos val="nextTo"/>
        <c:crossAx val="45331579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[Hospital_Emergency_Room_Analysis.xlsx.xlsx]Pivot report!PivotTable5</c:name>
    <c:fmtId val="2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report'!$J$4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report'!$I$5:$I$371</c:f>
              <c:strCache>
                <c:ptCount val="366"/>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pt idx="304">
                  <c:v>31-Oct</c:v>
                </c:pt>
                <c:pt idx="305">
                  <c:v>1-Nov</c:v>
                </c:pt>
                <c:pt idx="306">
                  <c:v>2-Nov</c:v>
                </c:pt>
                <c:pt idx="307">
                  <c:v>3-Nov</c:v>
                </c:pt>
                <c:pt idx="308">
                  <c:v>4-Nov</c:v>
                </c:pt>
                <c:pt idx="309">
                  <c:v>5-Nov</c:v>
                </c:pt>
                <c:pt idx="310">
                  <c:v>6-Nov</c:v>
                </c:pt>
                <c:pt idx="311">
                  <c:v>7-Nov</c:v>
                </c:pt>
                <c:pt idx="312">
                  <c:v>8-Nov</c:v>
                </c:pt>
                <c:pt idx="313">
                  <c:v>9-Nov</c:v>
                </c:pt>
                <c:pt idx="314">
                  <c:v>10-Nov</c:v>
                </c:pt>
                <c:pt idx="315">
                  <c:v>11-Nov</c:v>
                </c:pt>
                <c:pt idx="316">
                  <c:v>12-Nov</c:v>
                </c:pt>
                <c:pt idx="317">
                  <c:v>13-Nov</c:v>
                </c:pt>
                <c:pt idx="318">
                  <c:v>14-Nov</c:v>
                </c:pt>
                <c:pt idx="319">
                  <c:v>15-Nov</c:v>
                </c:pt>
                <c:pt idx="320">
                  <c:v>16-Nov</c:v>
                </c:pt>
                <c:pt idx="321">
                  <c:v>17-Nov</c:v>
                </c:pt>
                <c:pt idx="322">
                  <c:v>18-Nov</c:v>
                </c:pt>
                <c:pt idx="323">
                  <c:v>19-Nov</c:v>
                </c:pt>
                <c:pt idx="324">
                  <c:v>20-Nov</c:v>
                </c:pt>
                <c:pt idx="325">
                  <c:v>21-Nov</c:v>
                </c:pt>
                <c:pt idx="326">
                  <c:v>22-Nov</c:v>
                </c:pt>
                <c:pt idx="327">
                  <c:v>23-Nov</c:v>
                </c:pt>
                <c:pt idx="328">
                  <c:v>24-Nov</c:v>
                </c:pt>
                <c:pt idx="329">
                  <c:v>25-Nov</c:v>
                </c:pt>
                <c:pt idx="330">
                  <c:v>26-Nov</c:v>
                </c:pt>
                <c:pt idx="331">
                  <c:v>27-Nov</c:v>
                </c:pt>
                <c:pt idx="332">
                  <c:v>28-Nov</c:v>
                </c:pt>
                <c:pt idx="333">
                  <c:v>29-Nov</c:v>
                </c:pt>
                <c:pt idx="334">
                  <c:v>30-Nov</c:v>
                </c:pt>
                <c:pt idx="335">
                  <c:v>1-Dec</c:v>
                </c:pt>
                <c:pt idx="336">
                  <c:v>2-Dec</c:v>
                </c:pt>
                <c:pt idx="337">
                  <c:v>3-Dec</c:v>
                </c:pt>
                <c:pt idx="338">
                  <c:v>4-Dec</c:v>
                </c:pt>
                <c:pt idx="339">
                  <c:v>5-Dec</c:v>
                </c:pt>
                <c:pt idx="340">
                  <c:v>6-Dec</c:v>
                </c:pt>
                <c:pt idx="341">
                  <c:v>7-Dec</c:v>
                </c:pt>
                <c:pt idx="342">
                  <c:v>8-Dec</c:v>
                </c:pt>
                <c:pt idx="343">
                  <c:v>9-Dec</c:v>
                </c:pt>
                <c:pt idx="344">
                  <c:v>10-Dec</c:v>
                </c:pt>
                <c:pt idx="345">
                  <c:v>11-Dec</c:v>
                </c:pt>
                <c:pt idx="346">
                  <c:v>12-Dec</c:v>
                </c:pt>
                <c:pt idx="347">
                  <c:v>13-Dec</c:v>
                </c:pt>
                <c:pt idx="348">
                  <c:v>14-Dec</c:v>
                </c:pt>
                <c:pt idx="349">
                  <c:v>15-Dec</c:v>
                </c:pt>
                <c:pt idx="350">
                  <c:v>16-Dec</c:v>
                </c:pt>
                <c:pt idx="351">
                  <c:v>17-Dec</c:v>
                </c:pt>
                <c:pt idx="352">
                  <c:v>18-Dec</c:v>
                </c:pt>
                <c:pt idx="353">
                  <c:v>19-Dec</c:v>
                </c:pt>
                <c:pt idx="354">
                  <c:v>20-Dec</c:v>
                </c:pt>
                <c:pt idx="355">
                  <c:v>21-Dec</c:v>
                </c:pt>
                <c:pt idx="356">
                  <c:v>22-Dec</c:v>
                </c:pt>
                <c:pt idx="357">
                  <c:v>23-Dec</c:v>
                </c:pt>
                <c:pt idx="358">
                  <c:v>24-Dec</c:v>
                </c:pt>
                <c:pt idx="359">
                  <c:v>25-Dec</c:v>
                </c:pt>
                <c:pt idx="360">
                  <c:v>26-Dec</c:v>
                </c:pt>
                <c:pt idx="361">
                  <c:v>27-Dec</c:v>
                </c:pt>
                <c:pt idx="362">
                  <c:v>28-Dec</c:v>
                </c:pt>
                <c:pt idx="363">
                  <c:v>29-Dec</c:v>
                </c:pt>
                <c:pt idx="364">
                  <c:v>30-Dec</c:v>
                </c:pt>
                <c:pt idx="365">
                  <c:v>31-Dec</c:v>
                </c:pt>
              </c:strCache>
            </c:strRef>
          </c:cat>
          <c:val>
            <c:numRef>
              <c:f>'Pivot report'!$J$5:$J$371</c:f>
              <c:numCache>
                <c:formatCode>0.00</c:formatCode>
                <c:ptCount val="366"/>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pt idx="31">
                  <c:v>35.692307692307693</c:v>
                </c:pt>
                <c:pt idx="32">
                  <c:v>45.4</c:v>
                </c:pt>
                <c:pt idx="33">
                  <c:v>29.375</c:v>
                </c:pt>
                <c:pt idx="34">
                  <c:v>34.583333333333336</c:v>
                </c:pt>
                <c:pt idx="35">
                  <c:v>38.684210526315788</c:v>
                </c:pt>
                <c:pt idx="36">
                  <c:v>34.777777777777779</c:v>
                </c:pt>
                <c:pt idx="37">
                  <c:v>37.307692307692307</c:v>
                </c:pt>
                <c:pt idx="38">
                  <c:v>35.631578947368418</c:v>
                </c:pt>
                <c:pt idx="39">
                  <c:v>36.6</c:v>
                </c:pt>
                <c:pt idx="40">
                  <c:v>39.700000000000003</c:v>
                </c:pt>
                <c:pt idx="41">
                  <c:v>37.4</c:v>
                </c:pt>
                <c:pt idx="42">
                  <c:v>27.76923076923077</c:v>
                </c:pt>
                <c:pt idx="43">
                  <c:v>38.777777777777779</c:v>
                </c:pt>
                <c:pt idx="44">
                  <c:v>31</c:v>
                </c:pt>
                <c:pt idx="45">
                  <c:v>35.928571428571431</c:v>
                </c:pt>
                <c:pt idx="46">
                  <c:v>37.882352941176471</c:v>
                </c:pt>
                <c:pt idx="47">
                  <c:v>40.588235294117645</c:v>
                </c:pt>
                <c:pt idx="48">
                  <c:v>34.533333333333331</c:v>
                </c:pt>
                <c:pt idx="49">
                  <c:v>40.333333333333336</c:v>
                </c:pt>
                <c:pt idx="50">
                  <c:v>35.285714285714285</c:v>
                </c:pt>
                <c:pt idx="51">
                  <c:v>35.5</c:v>
                </c:pt>
                <c:pt idx="52">
                  <c:v>38.5625</c:v>
                </c:pt>
                <c:pt idx="53">
                  <c:v>42.727272727272727</c:v>
                </c:pt>
                <c:pt idx="54">
                  <c:v>37.416666666666664</c:v>
                </c:pt>
                <c:pt idx="55">
                  <c:v>32.450000000000003</c:v>
                </c:pt>
                <c:pt idx="56">
                  <c:v>40.055555555555557</c:v>
                </c:pt>
                <c:pt idx="57">
                  <c:v>31.666666666666668</c:v>
                </c:pt>
                <c:pt idx="58">
                  <c:v>39.769230769230766</c:v>
                </c:pt>
                <c:pt idx="59">
                  <c:v>36.733333333333334</c:v>
                </c:pt>
                <c:pt idx="60">
                  <c:v>34.526315789473685</c:v>
                </c:pt>
                <c:pt idx="61">
                  <c:v>33.708333333333336</c:v>
                </c:pt>
                <c:pt idx="62">
                  <c:v>36.291666666666664</c:v>
                </c:pt>
                <c:pt idx="63">
                  <c:v>35.071428571428569</c:v>
                </c:pt>
                <c:pt idx="64">
                  <c:v>31.571428571428573</c:v>
                </c:pt>
                <c:pt idx="65">
                  <c:v>31.8125</c:v>
                </c:pt>
                <c:pt idx="66">
                  <c:v>36.846153846153847</c:v>
                </c:pt>
                <c:pt idx="67">
                  <c:v>34.071428571428569</c:v>
                </c:pt>
                <c:pt idx="68">
                  <c:v>33</c:v>
                </c:pt>
                <c:pt idx="69">
                  <c:v>40.222222222222221</c:v>
                </c:pt>
                <c:pt idx="70">
                  <c:v>42.05</c:v>
                </c:pt>
                <c:pt idx="71">
                  <c:v>42.615384615384613</c:v>
                </c:pt>
                <c:pt idx="72">
                  <c:v>40.46153846153846</c:v>
                </c:pt>
                <c:pt idx="73">
                  <c:v>34.071428571428569</c:v>
                </c:pt>
                <c:pt idx="74">
                  <c:v>33.92307692307692</c:v>
                </c:pt>
                <c:pt idx="75">
                  <c:v>43.166666666666664</c:v>
                </c:pt>
                <c:pt idx="76">
                  <c:v>42.25</c:v>
                </c:pt>
                <c:pt idx="77">
                  <c:v>44.090909090909093</c:v>
                </c:pt>
                <c:pt idx="78">
                  <c:v>39</c:v>
                </c:pt>
                <c:pt idx="79">
                  <c:v>31.25</c:v>
                </c:pt>
                <c:pt idx="80">
                  <c:v>28.5</c:v>
                </c:pt>
                <c:pt idx="81">
                  <c:v>34.0625</c:v>
                </c:pt>
                <c:pt idx="82">
                  <c:v>25.2</c:v>
                </c:pt>
                <c:pt idx="83">
                  <c:v>35.863636363636367</c:v>
                </c:pt>
                <c:pt idx="84">
                  <c:v>39.833333333333336</c:v>
                </c:pt>
                <c:pt idx="85">
                  <c:v>37</c:v>
                </c:pt>
                <c:pt idx="86">
                  <c:v>39.411764705882355</c:v>
                </c:pt>
                <c:pt idx="87">
                  <c:v>30.294117647058822</c:v>
                </c:pt>
                <c:pt idx="88">
                  <c:v>32.666666666666664</c:v>
                </c:pt>
                <c:pt idx="89">
                  <c:v>30.571428571428573</c:v>
                </c:pt>
                <c:pt idx="90">
                  <c:v>39.055555555555557</c:v>
                </c:pt>
                <c:pt idx="91">
                  <c:v>37.12903225806452</c:v>
                </c:pt>
                <c:pt idx="92">
                  <c:v>35.34375</c:v>
                </c:pt>
                <c:pt idx="93">
                  <c:v>33.064516129032256</c:v>
                </c:pt>
                <c:pt idx="94">
                  <c:v>33.482758620689658</c:v>
                </c:pt>
                <c:pt idx="95">
                  <c:v>34</c:v>
                </c:pt>
                <c:pt idx="96">
                  <c:v>34.354838709677416</c:v>
                </c:pt>
                <c:pt idx="97">
                  <c:v>32.666666666666664</c:v>
                </c:pt>
                <c:pt idx="98">
                  <c:v>30.3125</c:v>
                </c:pt>
                <c:pt idx="99">
                  <c:v>33.925925925925924</c:v>
                </c:pt>
                <c:pt idx="100">
                  <c:v>32.037037037037038</c:v>
                </c:pt>
                <c:pt idx="101">
                  <c:v>38.606060606060609</c:v>
                </c:pt>
                <c:pt idx="102">
                  <c:v>36.761904761904759</c:v>
                </c:pt>
                <c:pt idx="103">
                  <c:v>28.52</c:v>
                </c:pt>
                <c:pt idx="104">
                  <c:v>33.882352941176471</c:v>
                </c:pt>
                <c:pt idx="105">
                  <c:v>39.625</c:v>
                </c:pt>
                <c:pt idx="106">
                  <c:v>31.823529411764707</c:v>
                </c:pt>
                <c:pt idx="107">
                  <c:v>37.769230769230766</c:v>
                </c:pt>
                <c:pt idx="108">
                  <c:v>38.055555555555557</c:v>
                </c:pt>
                <c:pt idx="109">
                  <c:v>30.129032258064516</c:v>
                </c:pt>
                <c:pt idx="110">
                  <c:v>35.03125</c:v>
                </c:pt>
                <c:pt idx="111">
                  <c:v>35.303030303030305</c:v>
                </c:pt>
                <c:pt idx="112">
                  <c:v>35.717948717948715</c:v>
                </c:pt>
                <c:pt idx="113">
                  <c:v>41.407407407407405</c:v>
                </c:pt>
                <c:pt idx="114">
                  <c:v>37.28125</c:v>
                </c:pt>
                <c:pt idx="115">
                  <c:v>38.575757575757578</c:v>
                </c:pt>
                <c:pt idx="116">
                  <c:v>33.411764705882355</c:v>
                </c:pt>
                <c:pt idx="117">
                  <c:v>36.6</c:v>
                </c:pt>
                <c:pt idx="118">
                  <c:v>31.875</c:v>
                </c:pt>
                <c:pt idx="119">
                  <c:v>36.925925925925924</c:v>
                </c:pt>
                <c:pt idx="120">
                  <c:v>33.533333333333331</c:v>
                </c:pt>
                <c:pt idx="121">
                  <c:v>33.205882352941174</c:v>
                </c:pt>
                <c:pt idx="122">
                  <c:v>30.135135135135137</c:v>
                </c:pt>
                <c:pt idx="123">
                  <c:v>38.512195121951223</c:v>
                </c:pt>
                <c:pt idx="124">
                  <c:v>34.806451612903224</c:v>
                </c:pt>
                <c:pt idx="125">
                  <c:v>34.517241379310342</c:v>
                </c:pt>
                <c:pt idx="126">
                  <c:v>36.575757575757578</c:v>
                </c:pt>
                <c:pt idx="127">
                  <c:v>35.833333333333336</c:v>
                </c:pt>
                <c:pt idx="128">
                  <c:v>35.567567567567565</c:v>
                </c:pt>
                <c:pt idx="129">
                  <c:v>36.333333333333336</c:v>
                </c:pt>
                <c:pt idx="130">
                  <c:v>31.351351351351351</c:v>
                </c:pt>
                <c:pt idx="131">
                  <c:v>31.64516129032258</c:v>
                </c:pt>
                <c:pt idx="132">
                  <c:v>40.200000000000003</c:v>
                </c:pt>
                <c:pt idx="133">
                  <c:v>38</c:v>
                </c:pt>
                <c:pt idx="134">
                  <c:v>30.56</c:v>
                </c:pt>
                <c:pt idx="135">
                  <c:v>34.565217391304351</c:v>
                </c:pt>
                <c:pt idx="136">
                  <c:v>32.902439024390247</c:v>
                </c:pt>
                <c:pt idx="137">
                  <c:v>33.451612903225808</c:v>
                </c:pt>
                <c:pt idx="138">
                  <c:v>36.117647058823529</c:v>
                </c:pt>
                <c:pt idx="139">
                  <c:v>36.322580645161288</c:v>
                </c:pt>
                <c:pt idx="140">
                  <c:v>32.806451612903224</c:v>
                </c:pt>
                <c:pt idx="141">
                  <c:v>37.704545454545453</c:v>
                </c:pt>
                <c:pt idx="142">
                  <c:v>36.534883720930232</c:v>
                </c:pt>
                <c:pt idx="143">
                  <c:v>35.303030303030305</c:v>
                </c:pt>
                <c:pt idx="144">
                  <c:v>41.535714285714285</c:v>
                </c:pt>
                <c:pt idx="145">
                  <c:v>38.147058823529413</c:v>
                </c:pt>
                <c:pt idx="146">
                  <c:v>37.166666666666664</c:v>
                </c:pt>
                <c:pt idx="147">
                  <c:v>33.629629629629626</c:v>
                </c:pt>
                <c:pt idx="148">
                  <c:v>33.130434782608695</c:v>
                </c:pt>
                <c:pt idx="149">
                  <c:v>36.085714285714289</c:v>
                </c:pt>
                <c:pt idx="150">
                  <c:v>33.512820512820511</c:v>
                </c:pt>
                <c:pt idx="151">
                  <c:v>33.733333333333334</c:v>
                </c:pt>
                <c:pt idx="152">
                  <c:v>34.279069767441861</c:v>
                </c:pt>
                <c:pt idx="153">
                  <c:v>36.222222222222221</c:v>
                </c:pt>
                <c:pt idx="154">
                  <c:v>35.904761904761905</c:v>
                </c:pt>
                <c:pt idx="155">
                  <c:v>32.53125</c:v>
                </c:pt>
                <c:pt idx="156">
                  <c:v>33.84375</c:v>
                </c:pt>
                <c:pt idx="157">
                  <c:v>35.214285714285715</c:v>
                </c:pt>
                <c:pt idx="158">
                  <c:v>37.21875</c:v>
                </c:pt>
                <c:pt idx="159">
                  <c:v>36.871794871794869</c:v>
                </c:pt>
                <c:pt idx="160">
                  <c:v>36.450000000000003</c:v>
                </c:pt>
                <c:pt idx="161">
                  <c:v>32.935483870967744</c:v>
                </c:pt>
                <c:pt idx="162">
                  <c:v>41.323529411764703</c:v>
                </c:pt>
                <c:pt idx="163">
                  <c:v>34.432432432432435</c:v>
                </c:pt>
                <c:pt idx="164">
                  <c:v>36.966666666666669</c:v>
                </c:pt>
                <c:pt idx="165">
                  <c:v>39.520000000000003</c:v>
                </c:pt>
                <c:pt idx="166">
                  <c:v>36.026315789473685</c:v>
                </c:pt>
                <c:pt idx="167">
                  <c:v>32.370370370370374</c:v>
                </c:pt>
                <c:pt idx="168">
                  <c:v>33.243243243243242</c:v>
                </c:pt>
                <c:pt idx="169">
                  <c:v>33.575757575757578</c:v>
                </c:pt>
                <c:pt idx="170">
                  <c:v>31.130434782608695</c:v>
                </c:pt>
                <c:pt idx="171">
                  <c:v>36.888888888888886</c:v>
                </c:pt>
                <c:pt idx="172">
                  <c:v>29.862068965517242</c:v>
                </c:pt>
                <c:pt idx="173">
                  <c:v>36.526315789473685</c:v>
                </c:pt>
                <c:pt idx="174">
                  <c:v>34.571428571428569</c:v>
                </c:pt>
                <c:pt idx="175">
                  <c:v>38.5</c:v>
                </c:pt>
                <c:pt idx="176">
                  <c:v>37.12903225806452</c:v>
                </c:pt>
                <c:pt idx="177">
                  <c:v>33.852941176470587</c:v>
                </c:pt>
                <c:pt idx="178">
                  <c:v>37.230769230769234</c:v>
                </c:pt>
                <c:pt idx="179">
                  <c:v>36.075000000000003</c:v>
                </c:pt>
                <c:pt idx="180">
                  <c:v>34.354838709677416</c:v>
                </c:pt>
                <c:pt idx="181">
                  <c:v>39.571428571428569</c:v>
                </c:pt>
                <c:pt idx="182">
                  <c:v>37.53125</c:v>
                </c:pt>
                <c:pt idx="183">
                  <c:v>31.357142857142858</c:v>
                </c:pt>
                <c:pt idx="184">
                  <c:v>35.285714285714285</c:v>
                </c:pt>
                <c:pt idx="185">
                  <c:v>34</c:v>
                </c:pt>
                <c:pt idx="186">
                  <c:v>28.391304347826086</c:v>
                </c:pt>
                <c:pt idx="187">
                  <c:v>36.545454545454547</c:v>
                </c:pt>
                <c:pt idx="188">
                  <c:v>33.939393939393938</c:v>
                </c:pt>
                <c:pt idx="189">
                  <c:v>38.516129032258064</c:v>
                </c:pt>
                <c:pt idx="190">
                  <c:v>34.74285714285714</c:v>
                </c:pt>
                <c:pt idx="191">
                  <c:v>34.5</c:v>
                </c:pt>
                <c:pt idx="192">
                  <c:v>31.65625</c:v>
                </c:pt>
                <c:pt idx="193">
                  <c:v>37.384615384615387</c:v>
                </c:pt>
                <c:pt idx="194">
                  <c:v>36.205128205128204</c:v>
                </c:pt>
                <c:pt idx="195">
                  <c:v>35.6</c:v>
                </c:pt>
                <c:pt idx="196">
                  <c:v>31.068965517241381</c:v>
                </c:pt>
                <c:pt idx="197">
                  <c:v>33</c:v>
                </c:pt>
                <c:pt idx="198">
                  <c:v>36.233333333333334</c:v>
                </c:pt>
                <c:pt idx="199">
                  <c:v>37.142857142857146</c:v>
                </c:pt>
                <c:pt idx="200">
                  <c:v>34.666666666666664</c:v>
                </c:pt>
                <c:pt idx="201">
                  <c:v>36.033333333333331</c:v>
                </c:pt>
                <c:pt idx="202">
                  <c:v>33.838709677419352</c:v>
                </c:pt>
                <c:pt idx="203">
                  <c:v>34.592592592592595</c:v>
                </c:pt>
                <c:pt idx="204">
                  <c:v>34.4375</c:v>
                </c:pt>
                <c:pt idx="205">
                  <c:v>36.172413793103445</c:v>
                </c:pt>
                <c:pt idx="206">
                  <c:v>34.758620689655174</c:v>
                </c:pt>
                <c:pt idx="207">
                  <c:v>37.241379310344826</c:v>
                </c:pt>
                <c:pt idx="208">
                  <c:v>33.9</c:v>
                </c:pt>
                <c:pt idx="209">
                  <c:v>35.4375</c:v>
                </c:pt>
                <c:pt idx="210">
                  <c:v>36.820512820512818</c:v>
                </c:pt>
                <c:pt idx="211">
                  <c:v>31.3125</c:v>
                </c:pt>
                <c:pt idx="212">
                  <c:v>39.064516129032256</c:v>
                </c:pt>
                <c:pt idx="213">
                  <c:v>35.428571428571431</c:v>
                </c:pt>
                <c:pt idx="214">
                  <c:v>34.794117647058826</c:v>
                </c:pt>
                <c:pt idx="215">
                  <c:v>37.032258064516128</c:v>
                </c:pt>
                <c:pt idx="216">
                  <c:v>39.862068965517238</c:v>
                </c:pt>
                <c:pt idx="217">
                  <c:v>36.166666666666664</c:v>
                </c:pt>
                <c:pt idx="218">
                  <c:v>30.40909090909091</c:v>
                </c:pt>
                <c:pt idx="219">
                  <c:v>40</c:v>
                </c:pt>
                <c:pt idx="220">
                  <c:v>31.677419354838708</c:v>
                </c:pt>
                <c:pt idx="221">
                  <c:v>29.791666666666668</c:v>
                </c:pt>
                <c:pt idx="222">
                  <c:v>36.833333333333336</c:v>
                </c:pt>
                <c:pt idx="223">
                  <c:v>33.96875</c:v>
                </c:pt>
                <c:pt idx="224">
                  <c:v>35.864864864864863</c:v>
                </c:pt>
                <c:pt idx="225">
                  <c:v>37.833333333333336</c:v>
                </c:pt>
                <c:pt idx="226">
                  <c:v>36.296296296296298</c:v>
                </c:pt>
                <c:pt idx="227">
                  <c:v>36.375</c:v>
                </c:pt>
                <c:pt idx="228">
                  <c:v>36</c:v>
                </c:pt>
                <c:pt idx="229">
                  <c:v>37.189189189189186</c:v>
                </c:pt>
                <c:pt idx="230">
                  <c:v>34.666666666666664</c:v>
                </c:pt>
                <c:pt idx="231">
                  <c:v>33</c:v>
                </c:pt>
                <c:pt idx="232">
                  <c:v>39.777777777777779</c:v>
                </c:pt>
                <c:pt idx="233">
                  <c:v>33.57692307692308</c:v>
                </c:pt>
                <c:pt idx="234">
                  <c:v>37.208333333333336</c:v>
                </c:pt>
                <c:pt idx="235">
                  <c:v>36.882352941176471</c:v>
                </c:pt>
                <c:pt idx="236">
                  <c:v>37.612903225806448</c:v>
                </c:pt>
                <c:pt idx="237">
                  <c:v>33.357142857142854</c:v>
                </c:pt>
                <c:pt idx="238">
                  <c:v>33.967741935483872</c:v>
                </c:pt>
                <c:pt idx="239">
                  <c:v>36.5</c:v>
                </c:pt>
                <c:pt idx="240">
                  <c:v>35.55263157894737</c:v>
                </c:pt>
                <c:pt idx="241">
                  <c:v>33.051282051282051</c:v>
                </c:pt>
                <c:pt idx="242">
                  <c:v>36.68</c:v>
                </c:pt>
                <c:pt idx="243">
                  <c:v>37.714285714285715</c:v>
                </c:pt>
                <c:pt idx="244">
                  <c:v>36.057142857142857</c:v>
                </c:pt>
                <c:pt idx="245">
                  <c:v>35.828571428571429</c:v>
                </c:pt>
                <c:pt idx="246">
                  <c:v>35.297297297297298</c:v>
                </c:pt>
                <c:pt idx="247">
                  <c:v>33</c:v>
                </c:pt>
                <c:pt idx="248">
                  <c:v>38.958333333333336</c:v>
                </c:pt>
                <c:pt idx="249">
                  <c:v>37.428571428571431</c:v>
                </c:pt>
                <c:pt idx="250">
                  <c:v>36.068965517241381</c:v>
                </c:pt>
                <c:pt idx="251">
                  <c:v>32.235294117647058</c:v>
                </c:pt>
                <c:pt idx="252">
                  <c:v>37.71875</c:v>
                </c:pt>
                <c:pt idx="253">
                  <c:v>31.275862068965516</c:v>
                </c:pt>
                <c:pt idx="254">
                  <c:v>35.857142857142854</c:v>
                </c:pt>
                <c:pt idx="255">
                  <c:v>33.068965517241381</c:v>
                </c:pt>
                <c:pt idx="256">
                  <c:v>34.708333333333336</c:v>
                </c:pt>
                <c:pt idx="257">
                  <c:v>35.357142857142854</c:v>
                </c:pt>
                <c:pt idx="258">
                  <c:v>37.613636363636367</c:v>
                </c:pt>
                <c:pt idx="259">
                  <c:v>33.514285714285712</c:v>
                </c:pt>
                <c:pt idx="260">
                  <c:v>32.131578947368418</c:v>
                </c:pt>
                <c:pt idx="261">
                  <c:v>37.571428571428569</c:v>
                </c:pt>
                <c:pt idx="262">
                  <c:v>31.911764705882351</c:v>
                </c:pt>
                <c:pt idx="263">
                  <c:v>34.03846153846154</c:v>
                </c:pt>
                <c:pt idx="264">
                  <c:v>33.722222222222221</c:v>
                </c:pt>
                <c:pt idx="265">
                  <c:v>31.5625</c:v>
                </c:pt>
                <c:pt idx="266">
                  <c:v>37.24</c:v>
                </c:pt>
                <c:pt idx="267">
                  <c:v>34.9</c:v>
                </c:pt>
                <c:pt idx="268">
                  <c:v>35.413793103448278</c:v>
                </c:pt>
                <c:pt idx="269">
                  <c:v>33.5625</c:v>
                </c:pt>
                <c:pt idx="270">
                  <c:v>32.586206896551722</c:v>
                </c:pt>
                <c:pt idx="271">
                  <c:v>33.030303030303031</c:v>
                </c:pt>
                <c:pt idx="272">
                  <c:v>33.25</c:v>
                </c:pt>
                <c:pt idx="273">
                  <c:v>36.611111111111114</c:v>
                </c:pt>
                <c:pt idx="274">
                  <c:v>36.971428571428568</c:v>
                </c:pt>
                <c:pt idx="275">
                  <c:v>35.64</c:v>
                </c:pt>
                <c:pt idx="276">
                  <c:v>34.454545454545453</c:v>
                </c:pt>
                <c:pt idx="277">
                  <c:v>37.088235294117645</c:v>
                </c:pt>
                <c:pt idx="278">
                  <c:v>27.933333333333334</c:v>
                </c:pt>
                <c:pt idx="279">
                  <c:v>33.884615384615387</c:v>
                </c:pt>
                <c:pt idx="280">
                  <c:v>33.827586206896555</c:v>
                </c:pt>
                <c:pt idx="281">
                  <c:v>31.576923076923077</c:v>
                </c:pt>
                <c:pt idx="282">
                  <c:v>33.270270270270274</c:v>
                </c:pt>
                <c:pt idx="283">
                  <c:v>36.5</c:v>
                </c:pt>
                <c:pt idx="284">
                  <c:v>34.093023255813954</c:v>
                </c:pt>
                <c:pt idx="285">
                  <c:v>39.216216216216218</c:v>
                </c:pt>
                <c:pt idx="286">
                  <c:v>35.676470588235297</c:v>
                </c:pt>
                <c:pt idx="287">
                  <c:v>34.354838709677416</c:v>
                </c:pt>
                <c:pt idx="288">
                  <c:v>38.56</c:v>
                </c:pt>
                <c:pt idx="289">
                  <c:v>28.76923076923077</c:v>
                </c:pt>
                <c:pt idx="290">
                  <c:v>33.571428571428569</c:v>
                </c:pt>
                <c:pt idx="291">
                  <c:v>33.534883720930232</c:v>
                </c:pt>
                <c:pt idx="292">
                  <c:v>39.515151515151516</c:v>
                </c:pt>
                <c:pt idx="293">
                  <c:v>32.714285714285715</c:v>
                </c:pt>
                <c:pt idx="294">
                  <c:v>30.62857142857143</c:v>
                </c:pt>
                <c:pt idx="295">
                  <c:v>36.914285714285711</c:v>
                </c:pt>
                <c:pt idx="296">
                  <c:v>41.064516129032256</c:v>
                </c:pt>
                <c:pt idx="297">
                  <c:v>32.58064516129032</c:v>
                </c:pt>
                <c:pt idx="298">
                  <c:v>31.393939393939394</c:v>
                </c:pt>
                <c:pt idx="299">
                  <c:v>29.363636363636363</c:v>
                </c:pt>
                <c:pt idx="300">
                  <c:v>35.4</c:v>
                </c:pt>
                <c:pt idx="301">
                  <c:v>35.655172413793103</c:v>
                </c:pt>
                <c:pt idx="302">
                  <c:v>40.481481481481481</c:v>
                </c:pt>
                <c:pt idx="303">
                  <c:v>31.193548387096776</c:v>
                </c:pt>
                <c:pt idx="304">
                  <c:v>35.049999999999997</c:v>
                </c:pt>
                <c:pt idx="305">
                  <c:v>35.117647058823529</c:v>
                </c:pt>
                <c:pt idx="306">
                  <c:v>28.916666666666668</c:v>
                </c:pt>
                <c:pt idx="307">
                  <c:v>34.357142857142854</c:v>
                </c:pt>
                <c:pt idx="308">
                  <c:v>29.705882352941178</c:v>
                </c:pt>
                <c:pt idx="309">
                  <c:v>33.176470588235297</c:v>
                </c:pt>
                <c:pt idx="310">
                  <c:v>39.8125</c:v>
                </c:pt>
                <c:pt idx="311">
                  <c:v>36.578947368421055</c:v>
                </c:pt>
                <c:pt idx="312">
                  <c:v>34.5</c:v>
                </c:pt>
                <c:pt idx="313">
                  <c:v>39.764705882352942</c:v>
                </c:pt>
                <c:pt idx="314">
                  <c:v>35.230769230769234</c:v>
                </c:pt>
                <c:pt idx="315">
                  <c:v>41.5</c:v>
                </c:pt>
                <c:pt idx="316">
                  <c:v>38.0625</c:v>
                </c:pt>
                <c:pt idx="317">
                  <c:v>29.222222222222221</c:v>
                </c:pt>
                <c:pt idx="318">
                  <c:v>31</c:v>
                </c:pt>
                <c:pt idx="319">
                  <c:v>37.3125</c:v>
                </c:pt>
                <c:pt idx="320">
                  <c:v>35.647058823529413</c:v>
                </c:pt>
                <c:pt idx="321">
                  <c:v>36.476190476190474</c:v>
                </c:pt>
                <c:pt idx="322">
                  <c:v>40.799999999999997</c:v>
                </c:pt>
                <c:pt idx="323">
                  <c:v>30.318181818181817</c:v>
                </c:pt>
                <c:pt idx="324">
                  <c:v>35.714285714285715</c:v>
                </c:pt>
                <c:pt idx="325">
                  <c:v>33.53846153846154</c:v>
                </c:pt>
                <c:pt idx="326">
                  <c:v>37.5</c:v>
                </c:pt>
                <c:pt idx="327">
                  <c:v>38.058823529411768</c:v>
                </c:pt>
                <c:pt idx="328">
                  <c:v>28.117647058823529</c:v>
                </c:pt>
                <c:pt idx="329">
                  <c:v>31.846153846153847</c:v>
                </c:pt>
                <c:pt idx="330">
                  <c:v>43.636363636363633</c:v>
                </c:pt>
                <c:pt idx="331">
                  <c:v>38.842105263157897</c:v>
                </c:pt>
                <c:pt idx="332">
                  <c:v>29.5625</c:v>
                </c:pt>
                <c:pt idx="333">
                  <c:v>37.466666666666669</c:v>
                </c:pt>
                <c:pt idx="334">
                  <c:v>35.277777777777779</c:v>
                </c:pt>
                <c:pt idx="335">
                  <c:v>34.5</c:v>
                </c:pt>
                <c:pt idx="336">
                  <c:v>35.4</c:v>
                </c:pt>
                <c:pt idx="337">
                  <c:v>34.928571428571431</c:v>
                </c:pt>
                <c:pt idx="338">
                  <c:v>44.25</c:v>
                </c:pt>
                <c:pt idx="339">
                  <c:v>40.1875</c:v>
                </c:pt>
                <c:pt idx="340">
                  <c:v>35</c:v>
                </c:pt>
                <c:pt idx="341">
                  <c:v>43.142857142857146</c:v>
                </c:pt>
                <c:pt idx="342">
                  <c:v>43.6875</c:v>
                </c:pt>
                <c:pt idx="343">
                  <c:v>33.857142857142854</c:v>
                </c:pt>
                <c:pt idx="344">
                  <c:v>40.1875</c:v>
                </c:pt>
                <c:pt idx="345">
                  <c:v>34.9375</c:v>
                </c:pt>
                <c:pt idx="346">
                  <c:v>28.684210526315791</c:v>
                </c:pt>
                <c:pt idx="347">
                  <c:v>25</c:v>
                </c:pt>
                <c:pt idx="348">
                  <c:v>35.46153846153846</c:v>
                </c:pt>
                <c:pt idx="349">
                  <c:v>33.814814814814817</c:v>
                </c:pt>
                <c:pt idx="350">
                  <c:v>33.631578947368418</c:v>
                </c:pt>
                <c:pt idx="351">
                  <c:v>36.611111111111114</c:v>
                </c:pt>
                <c:pt idx="352">
                  <c:v>30.5</c:v>
                </c:pt>
                <c:pt idx="353">
                  <c:v>33.6</c:v>
                </c:pt>
                <c:pt idx="354">
                  <c:v>26.75</c:v>
                </c:pt>
                <c:pt idx="355">
                  <c:v>37.684210526315788</c:v>
                </c:pt>
                <c:pt idx="356">
                  <c:v>36.611111111111114</c:v>
                </c:pt>
                <c:pt idx="357">
                  <c:v>35.428571428571431</c:v>
                </c:pt>
                <c:pt idx="358">
                  <c:v>31.944444444444443</c:v>
                </c:pt>
                <c:pt idx="359">
                  <c:v>31.875</c:v>
                </c:pt>
                <c:pt idx="360">
                  <c:v>28.642857142857142</c:v>
                </c:pt>
                <c:pt idx="361">
                  <c:v>39.214285714285715</c:v>
                </c:pt>
                <c:pt idx="362">
                  <c:v>32.0625</c:v>
                </c:pt>
                <c:pt idx="363">
                  <c:v>28.285714285714285</c:v>
                </c:pt>
                <c:pt idx="364">
                  <c:v>35.476190476190474</c:v>
                </c:pt>
                <c:pt idx="365">
                  <c:v>39.799999999999997</c:v>
                </c:pt>
              </c:numCache>
            </c:numRef>
          </c:val>
          <c:extLst>
            <c:ext xmlns:c16="http://schemas.microsoft.com/office/drawing/2014/chart" uri="{C3380CC4-5D6E-409C-BE32-E72D297353CC}">
              <c16:uniqueId val="{00000000-55C5-41B9-8FAA-304D247EDF18}"/>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25169888"/>
        <c:axId val="525170368"/>
      </c:areaChart>
      <c:catAx>
        <c:axId val="52516988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5400000" spcFirstLastPara="1" vertOverflow="ellipsis" wrap="square" anchor="ctr" anchorCtr="1"/>
          <a:lstStyle/>
          <a:p>
            <a:pPr>
              <a:defRPr sz="900" b="0" i="0" u="none" strike="noStrike" kern="1200" baseline="0">
                <a:solidFill>
                  <a:schemeClr val="lt1"/>
                </a:solidFill>
                <a:latin typeface="+mn-lt"/>
                <a:ea typeface="+mn-ea"/>
                <a:cs typeface="+mn-cs"/>
              </a:defRPr>
            </a:pPr>
            <a:endParaRPr lang="en-US"/>
          </a:p>
        </c:txPr>
        <c:crossAx val="525170368"/>
        <c:crosses val="autoZero"/>
        <c:auto val="1"/>
        <c:lblAlgn val="ctr"/>
        <c:lblOffset val="100"/>
        <c:noMultiLvlLbl val="0"/>
      </c:catAx>
      <c:valAx>
        <c:axId val="525170368"/>
        <c:scaling>
          <c:orientation val="minMax"/>
        </c:scaling>
        <c:delete val="1"/>
        <c:axPos val="l"/>
        <c:numFmt formatCode="0.00" sourceLinked="1"/>
        <c:majorTickMark val="out"/>
        <c:minorTickMark val="none"/>
        <c:tickLblPos val="nextTo"/>
        <c:crossAx val="52516988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[Hospital_Emergency_Room_Analysis.xlsx.xlsx]Pivot report!PivotTable4</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529411764705881E-3"/>
          <c:y val="2.1659497644464132E-3"/>
          <c:w val="0.96716419638721629"/>
          <c:h val="0.80803465831831267"/>
        </c:manualLayout>
      </c:layout>
      <c:areaChart>
        <c:grouping val="standard"/>
        <c:varyColors val="0"/>
        <c:ser>
          <c:idx val="0"/>
          <c:order val="0"/>
          <c:tx>
            <c:strRef>
              <c:f>'Pivot report'!$F$4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report'!$E$5:$E$371</c:f>
              <c:strCache>
                <c:ptCount val="366"/>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pt idx="304">
                  <c:v>31-Oct</c:v>
                </c:pt>
                <c:pt idx="305">
                  <c:v>1-Nov</c:v>
                </c:pt>
                <c:pt idx="306">
                  <c:v>2-Nov</c:v>
                </c:pt>
                <c:pt idx="307">
                  <c:v>3-Nov</c:v>
                </c:pt>
                <c:pt idx="308">
                  <c:v>4-Nov</c:v>
                </c:pt>
                <c:pt idx="309">
                  <c:v>5-Nov</c:v>
                </c:pt>
                <c:pt idx="310">
                  <c:v>6-Nov</c:v>
                </c:pt>
                <c:pt idx="311">
                  <c:v>7-Nov</c:v>
                </c:pt>
                <c:pt idx="312">
                  <c:v>8-Nov</c:v>
                </c:pt>
                <c:pt idx="313">
                  <c:v>9-Nov</c:v>
                </c:pt>
                <c:pt idx="314">
                  <c:v>10-Nov</c:v>
                </c:pt>
                <c:pt idx="315">
                  <c:v>11-Nov</c:v>
                </c:pt>
                <c:pt idx="316">
                  <c:v>12-Nov</c:v>
                </c:pt>
                <c:pt idx="317">
                  <c:v>13-Nov</c:v>
                </c:pt>
                <c:pt idx="318">
                  <c:v>14-Nov</c:v>
                </c:pt>
                <c:pt idx="319">
                  <c:v>15-Nov</c:v>
                </c:pt>
                <c:pt idx="320">
                  <c:v>16-Nov</c:v>
                </c:pt>
                <c:pt idx="321">
                  <c:v>17-Nov</c:v>
                </c:pt>
                <c:pt idx="322">
                  <c:v>18-Nov</c:v>
                </c:pt>
                <c:pt idx="323">
                  <c:v>19-Nov</c:v>
                </c:pt>
                <c:pt idx="324">
                  <c:v>20-Nov</c:v>
                </c:pt>
                <c:pt idx="325">
                  <c:v>21-Nov</c:v>
                </c:pt>
                <c:pt idx="326">
                  <c:v>22-Nov</c:v>
                </c:pt>
                <c:pt idx="327">
                  <c:v>23-Nov</c:v>
                </c:pt>
                <c:pt idx="328">
                  <c:v>24-Nov</c:v>
                </c:pt>
                <c:pt idx="329">
                  <c:v>25-Nov</c:v>
                </c:pt>
                <c:pt idx="330">
                  <c:v>26-Nov</c:v>
                </c:pt>
                <c:pt idx="331">
                  <c:v>27-Nov</c:v>
                </c:pt>
                <c:pt idx="332">
                  <c:v>28-Nov</c:v>
                </c:pt>
                <c:pt idx="333">
                  <c:v>29-Nov</c:v>
                </c:pt>
                <c:pt idx="334">
                  <c:v>30-Nov</c:v>
                </c:pt>
                <c:pt idx="335">
                  <c:v>1-Dec</c:v>
                </c:pt>
                <c:pt idx="336">
                  <c:v>2-Dec</c:v>
                </c:pt>
                <c:pt idx="337">
                  <c:v>3-Dec</c:v>
                </c:pt>
                <c:pt idx="338">
                  <c:v>4-Dec</c:v>
                </c:pt>
                <c:pt idx="339">
                  <c:v>5-Dec</c:v>
                </c:pt>
                <c:pt idx="340">
                  <c:v>6-Dec</c:v>
                </c:pt>
                <c:pt idx="341">
                  <c:v>7-Dec</c:v>
                </c:pt>
                <c:pt idx="342">
                  <c:v>8-Dec</c:v>
                </c:pt>
                <c:pt idx="343">
                  <c:v>9-Dec</c:v>
                </c:pt>
                <c:pt idx="344">
                  <c:v>10-Dec</c:v>
                </c:pt>
                <c:pt idx="345">
                  <c:v>11-Dec</c:v>
                </c:pt>
                <c:pt idx="346">
                  <c:v>12-Dec</c:v>
                </c:pt>
                <c:pt idx="347">
                  <c:v>13-Dec</c:v>
                </c:pt>
                <c:pt idx="348">
                  <c:v>14-Dec</c:v>
                </c:pt>
                <c:pt idx="349">
                  <c:v>15-Dec</c:v>
                </c:pt>
                <c:pt idx="350">
                  <c:v>16-Dec</c:v>
                </c:pt>
                <c:pt idx="351">
                  <c:v>17-Dec</c:v>
                </c:pt>
                <c:pt idx="352">
                  <c:v>18-Dec</c:v>
                </c:pt>
                <c:pt idx="353">
                  <c:v>19-Dec</c:v>
                </c:pt>
                <c:pt idx="354">
                  <c:v>20-Dec</c:v>
                </c:pt>
                <c:pt idx="355">
                  <c:v>21-Dec</c:v>
                </c:pt>
                <c:pt idx="356">
                  <c:v>22-Dec</c:v>
                </c:pt>
                <c:pt idx="357">
                  <c:v>23-Dec</c:v>
                </c:pt>
                <c:pt idx="358">
                  <c:v>24-Dec</c:v>
                </c:pt>
                <c:pt idx="359">
                  <c:v>25-Dec</c:v>
                </c:pt>
                <c:pt idx="360">
                  <c:v>26-Dec</c:v>
                </c:pt>
                <c:pt idx="361">
                  <c:v>27-Dec</c:v>
                </c:pt>
                <c:pt idx="362">
                  <c:v>28-Dec</c:v>
                </c:pt>
                <c:pt idx="363">
                  <c:v>29-Dec</c:v>
                </c:pt>
                <c:pt idx="364">
                  <c:v>30-Dec</c:v>
                </c:pt>
                <c:pt idx="365">
                  <c:v>31-Dec</c:v>
                </c:pt>
              </c:strCache>
            </c:strRef>
          </c:cat>
          <c:val>
            <c:numRef>
              <c:f>'Pivot report'!$F$5:$F$371</c:f>
              <c:numCache>
                <c:formatCode>0</c:formatCode>
                <c:ptCount val="366"/>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pt idx="31">
                  <c:v>13</c:v>
                </c:pt>
                <c:pt idx="32">
                  <c:v>10</c:v>
                </c:pt>
                <c:pt idx="33">
                  <c:v>8</c:v>
                </c:pt>
                <c:pt idx="34">
                  <c:v>12</c:v>
                </c:pt>
                <c:pt idx="35">
                  <c:v>19</c:v>
                </c:pt>
                <c:pt idx="36">
                  <c:v>9</c:v>
                </c:pt>
                <c:pt idx="37">
                  <c:v>13</c:v>
                </c:pt>
                <c:pt idx="38">
                  <c:v>19</c:v>
                </c:pt>
                <c:pt idx="39">
                  <c:v>10</c:v>
                </c:pt>
                <c:pt idx="40">
                  <c:v>20</c:v>
                </c:pt>
                <c:pt idx="41">
                  <c:v>15</c:v>
                </c:pt>
                <c:pt idx="42">
                  <c:v>13</c:v>
                </c:pt>
                <c:pt idx="43">
                  <c:v>9</c:v>
                </c:pt>
                <c:pt idx="44">
                  <c:v>19</c:v>
                </c:pt>
                <c:pt idx="45">
                  <c:v>14</c:v>
                </c:pt>
                <c:pt idx="46">
                  <c:v>17</c:v>
                </c:pt>
                <c:pt idx="47">
                  <c:v>17</c:v>
                </c:pt>
                <c:pt idx="48">
                  <c:v>15</c:v>
                </c:pt>
                <c:pt idx="49">
                  <c:v>9</c:v>
                </c:pt>
                <c:pt idx="50">
                  <c:v>14</c:v>
                </c:pt>
                <c:pt idx="51">
                  <c:v>22</c:v>
                </c:pt>
                <c:pt idx="52">
                  <c:v>16</c:v>
                </c:pt>
                <c:pt idx="53">
                  <c:v>22</c:v>
                </c:pt>
                <c:pt idx="54">
                  <c:v>12</c:v>
                </c:pt>
                <c:pt idx="55">
                  <c:v>20</c:v>
                </c:pt>
                <c:pt idx="56">
                  <c:v>18</c:v>
                </c:pt>
                <c:pt idx="57">
                  <c:v>18</c:v>
                </c:pt>
                <c:pt idx="58">
                  <c:v>13</c:v>
                </c:pt>
                <c:pt idx="59">
                  <c:v>15</c:v>
                </c:pt>
                <c:pt idx="60">
                  <c:v>19</c:v>
                </c:pt>
                <c:pt idx="61">
                  <c:v>24</c:v>
                </c:pt>
                <c:pt idx="62">
                  <c:v>24</c:v>
                </c:pt>
                <c:pt idx="63">
                  <c:v>14</c:v>
                </c:pt>
                <c:pt idx="64">
                  <c:v>14</c:v>
                </c:pt>
                <c:pt idx="65">
                  <c:v>16</c:v>
                </c:pt>
                <c:pt idx="66">
                  <c:v>26</c:v>
                </c:pt>
                <c:pt idx="67">
                  <c:v>14</c:v>
                </c:pt>
                <c:pt idx="68">
                  <c:v>22</c:v>
                </c:pt>
                <c:pt idx="69">
                  <c:v>18</c:v>
                </c:pt>
                <c:pt idx="70">
                  <c:v>20</c:v>
                </c:pt>
                <c:pt idx="71">
                  <c:v>13</c:v>
                </c:pt>
                <c:pt idx="72">
                  <c:v>13</c:v>
                </c:pt>
                <c:pt idx="73">
                  <c:v>14</c:v>
                </c:pt>
                <c:pt idx="74">
                  <c:v>13</c:v>
                </c:pt>
                <c:pt idx="75">
                  <c:v>18</c:v>
                </c:pt>
                <c:pt idx="76">
                  <c:v>12</c:v>
                </c:pt>
                <c:pt idx="77">
                  <c:v>11</c:v>
                </c:pt>
                <c:pt idx="78">
                  <c:v>14</c:v>
                </c:pt>
                <c:pt idx="79">
                  <c:v>12</c:v>
                </c:pt>
                <c:pt idx="80">
                  <c:v>16</c:v>
                </c:pt>
                <c:pt idx="81">
                  <c:v>16</c:v>
                </c:pt>
                <c:pt idx="82">
                  <c:v>15</c:v>
                </c:pt>
                <c:pt idx="83">
                  <c:v>22</c:v>
                </c:pt>
                <c:pt idx="84">
                  <c:v>18</c:v>
                </c:pt>
                <c:pt idx="85">
                  <c:v>10</c:v>
                </c:pt>
                <c:pt idx="86">
                  <c:v>17</c:v>
                </c:pt>
                <c:pt idx="87">
                  <c:v>17</c:v>
                </c:pt>
                <c:pt idx="88">
                  <c:v>12</c:v>
                </c:pt>
                <c:pt idx="89">
                  <c:v>14</c:v>
                </c:pt>
                <c:pt idx="90">
                  <c:v>18</c:v>
                </c:pt>
                <c:pt idx="91">
                  <c:v>31</c:v>
                </c:pt>
                <c:pt idx="92">
                  <c:v>32</c:v>
                </c:pt>
                <c:pt idx="93">
                  <c:v>31</c:v>
                </c:pt>
                <c:pt idx="94">
                  <c:v>29</c:v>
                </c:pt>
                <c:pt idx="95">
                  <c:v>34</c:v>
                </c:pt>
                <c:pt idx="96">
                  <c:v>31</c:v>
                </c:pt>
                <c:pt idx="97">
                  <c:v>27</c:v>
                </c:pt>
                <c:pt idx="98">
                  <c:v>32</c:v>
                </c:pt>
                <c:pt idx="99">
                  <c:v>27</c:v>
                </c:pt>
                <c:pt idx="100">
                  <c:v>27</c:v>
                </c:pt>
                <c:pt idx="101">
                  <c:v>33</c:v>
                </c:pt>
                <c:pt idx="102">
                  <c:v>42</c:v>
                </c:pt>
                <c:pt idx="103">
                  <c:v>25</c:v>
                </c:pt>
                <c:pt idx="104">
                  <c:v>34</c:v>
                </c:pt>
                <c:pt idx="105">
                  <c:v>32</c:v>
                </c:pt>
                <c:pt idx="106">
                  <c:v>34</c:v>
                </c:pt>
                <c:pt idx="107">
                  <c:v>26</c:v>
                </c:pt>
                <c:pt idx="108">
                  <c:v>36</c:v>
                </c:pt>
                <c:pt idx="109">
                  <c:v>31</c:v>
                </c:pt>
                <c:pt idx="110">
                  <c:v>32</c:v>
                </c:pt>
                <c:pt idx="111">
                  <c:v>33</c:v>
                </c:pt>
                <c:pt idx="112">
                  <c:v>39</c:v>
                </c:pt>
                <c:pt idx="113">
                  <c:v>27</c:v>
                </c:pt>
                <c:pt idx="114">
                  <c:v>32</c:v>
                </c:pt>
                <c:pt idx="115">
                  <c:v>33</c:v>
                </c:pt>
                <c:pt idx="116">
                  <c:v>34</c:v>
                </c:pt>
                <c:pt idx="117">
                  <c:v>35</c:v>
                </c:pt>
                <c:pt idx="118">
                  <c:v>32</c:v>
                </c:pt>
                <c:pt idx="119">
                  <c:v>27</c:v>
                </c:pt>
                <c:pt idx="120">
                  <c:v>30</c:v>
                </c:pt>
                <c:pt idx="121">
                  <c:v>34</c:v>
                </c:pt>
                <c:pt idx="122">
                  <c:v>37</c:v>
                </c:pt>
                <c:pt idx="123">
                  <c:v>41</c:v>
                </c:pt>
                <c:pt idx="124">
                  <c:v>31</c:v>
                </c:pt>
                <c:pt idx="125">
                  <c:v>29</c:v>
                </c:pt>
                <c:pt idx="126">
                  <c:v>33</c:v>
                </c:pt>
                <c:pt idx="127">
                  <c:v>30</c:v>
                </c:pt>
                <c:pt idx="128">
                  <c:v>37</c:v>
                </c:pt>
                <c:pt idx="129">
                  <c:v>33</c:v>
                </c:pt>
                <c:pt idx="130">
                  <c:v>37</c:v>
                </c:pt>
                <c:pt idx="131">
                  <c:v>31</c:v>
                </c:pt>
                <c:pt idx="132">
                  <c:v>25</c:v>
                </c:pt>
                <c:pt idx="133">
                  <c:v>25</c:v>
                </c:pt>
                <c:pt idx="134">
                  <c:v>25</c:v>
                </c:pt>
                <c:pt idx="135">
                  <c:v>23</c:v>
                </c:pt>
                <c:pt idx="136">
                  <c:v>41</c:v>
                </c:pt>
                <c:pt idx="137">
                  <c:v>31</c:v>
                </c:pt>
                <c:pt idx="138">
                  <c:v>34</c:v>
                </c:pt>
                <c:pt idx="139">
                  <c:v>31</c:v>
                </c:pt>
                <c:pt idx="140">
                  <c:v>31</c:v>
                </c:pt>
                <c:pt idx="141">
                  <c:v>44</c:v>
                </c:pt>
                <c:pt idx="142">
                  <c:v>43</c:v>
                </c:pt>
                <c:pt idx="143">
                  <c:v>33</c:v>
                </c:pt>
                <c:pt idx="144">
                  <c:v>28</c:v>
                </c:pt>
                <c:pt idx="145">
                  <c:v>34</c:v>
                </c:pt>
                <c:pt idx="146">
                  <c:v>24</c:v>
                </c:pt>
                <c:pt idx="147">
                  <c:v>27</c:v>
                </c:pt>
                <c:pt idx="148">
                  <c:v>23</c:v>
                </c:pt>
                <c:pt idx="149">
                  <c:v>35</c:v>
                </c:pt>
                <c:pt idx="150">
                  <c:v>39</c:v>
                </c:pt>
                <c:pt idx="151">
                  <c:v>30</c:v>
                </c:pt>
                <c:pt idx="152">
                  <c:v>43</c:v>
                </c:pt>
                <c:pt idx="153">
                  <c:v>27</c:v>
                </c:pt>
                <c:pt idx="154">
                  <c:v>42</c:v>
                </c:pt>
                <c:pt idx="155">
                  <c:v>32</c:v>
                </c:pt>
                <c:pt idx="156">
                  <c:v>32</c:v>
                </c:pt>
                <c:pt idx="157">
                  <c:v>28</c:v>
                </c:pt>
                <c:pt idx="158">
                  <c:v>32</c:v>
                </c:pt>
                <c:pt idx="159">
                  <c:v>39</c:v>
                </c:pt>
                <c:pt idx="160">
                  <c:v>40</c:v>
                </c:pt>
                <c:pt idx="161">
                  <c:v>31</c:v>
                </c:pt>
                <c:pt idx="162">
                  <c:v>34</c:v>
                </c:pt>
                <c:pt idx="163">
                  <c:v>37</c:v>
                </c:pt>
                <c:pt idx="164">
                  <c:v>30</c:v>
                </c:pt>
                <c:pt idx="165">
                  <c:v>25</c:v>
                </c:pt>
                <c:pt idx="166">
                  <c:v>38</c:v>
                </c:pt>
                <c:pt idx="167">
                  <c:v>27</c:v>
                </c:pt>
                <c:pt idx="168">
                  <c:v>37</c:v>
                </c:pt>
                <c:pt idx="169">
                  <c:v>33</c:v>
                </c:pt>
                <c:pt idx="170">
                  <c:v>23</c:v>
                </c:pt>
                <c:pt idx="171">
                  <c:v>27</c:v>
                </c:pt>
                <c:pt idx="172">
                  <c:v>29</c:v>
                </c:pt>
                <c:pt idx="173">
                  <c:v>38</c:v>
                </c:pt>
                <c:pt idx="174">
                  <c:v>28</c:v>
                </c:pt>
                <c:pt idx="175">
                  <c:v>36</c:v>
                </c:pt>
                <c:pt idx="176">
                  <c:v>31</c:v>
                </c:pt>
                <c:pt idx="177">
                  <c:v>34</c:v>
                </c:pt>
                <c:pt idx="178">
                  <c:v>39</c:v>
                </c:pt>
                <c:pt idx="179">
                  <c:v>40</c:v>
                </c:pt>
                <c:pt idx="180">
                  <c:v>31</c:v>
                </c:pt>
                <c:pt idx="181">
                  <c:v>28</c:v>
                </c:pt>
                <c:pt idx="182">
                  <c:v>32</c:v>
                </c:pt>
                <c:pt idx="183">
                  <c:v>28</c:v>
                </c:pt>
                <c:pt idx="184">
                  <c:v>28</c:v>
                </c:pt>
                <c:pt idx="185">
                  <c:v>25</c:v>
                </c:pt>
                <c:pt idx="186">
                  <c:v>23</c:v>
                </c:pt>
                <c:pt idx="187">
                  <c:v>22</c:v>
                </c:pt>
                <c:pt idx="188">
                  <c:v>33</c:v>
                </c:pt>
                <c:pt idx="189">
                  <c:v>31</c:v>
                </c:pt>
                <c:pt idx="190">
                  <c:v>35</c:v>
                </c:pt>
                <c:pt idx="191">
                  <c:v>30</c:v>
                </c:pt>
                <c:pt idx="192">
                  <c:v>32</c:v>
                </c:pt>
                <c:pt idx="193">
                  <c:v>39</c:v>
                </c:pt>
                <c:pt idx="194">
                  <c:v>39</c:v>
                </c:pt>
                <c:pt idx="195">
                  <c:v>30</c:v>
                </c:pt>
                <c:pt idx="196">
                  <c:v>29</c:v>
                </c:pt>
                <c:pt idx="197">
                  <c:v>34</c:v>
                </c:pt>
                <c:pt idx="198">
                  <c:v>30</c:v>
                </c:pt>
                <c:pt idx="199">
                  <c:v>28</c:v>
                </c:pt>
                <c:pt idx="200">
                  <c:v>33</c:v>
                </c:pt>
                <c:pt idx="201">
                  <c:v>30</c:v>
                </c:pt>
                <c:pt idx="202">
                  <c:v>31</c:v>
                </c:pt>
                <c:pt idx="203">
                  <c:v>27</c:v>
                </c:pt>
                <c:pt idx="204">
                  <c:v>32</c:v>
                </c:pt>
                <c:pt idx="205">
                  <c:v>29</c:v>
                </c:pt>
                <c:pt idx="206">
                  <c:v>29</c:v>
                </c:pt>
                <c:pt idx="207">
                  <c:v>29</c:v>
                </c:pt>
                <c:pt idx="208">
                  <c:v>30</c:v>
                </c:pt>
                <c:pt idx="209">
                  <c:v>32</c:v>
                </c:pt>
                <c:pt idx="210">
                  <c:v>39</c:v>
                </c:pt>
                <c:pt idx="211">
                  <c:v>32</c:v>
                </c:pt>
                <c:pt idx="212">
                  <c:v>31</c:v>
                </c:pt>
                <c:pt idx="213">
                  <c:v>42</c:v>
                </c:pt>
                <c:pt idx="214">
                  <c:v>34</c:v>
                </c:pt>
                <c:pt idx="215">
                  <c:v>31</c:v>
                </c:pt>
                <c:pt idx="216">
                  <c:v>29</c:v>
                </c:pt>
                <c:pt idx="217">
                  <c:v>42</c:v>
                </c:pt>
                <c:pt idx="218">
                  <c:v>22</c:v>
                </c:pt>
                <c:pt idx="219">
                  <c:v>28</c:v>
                </c:pt>
                <c:pt idx="220">
                  <c:v>31</c:v>
                </c:pt>
                <c:pt idx="221">
                  <c:v>24</c:v>
                </c:pt>
                <c:pt idx="222">
                  <c:v>48</c:v>
                </c:pt>
                <c:pt idx="223">
                  <c:v>32</c:v>
                </c:pt>
                <c:pt idx="224">
                  <c:v>37</c:v>
                </c:pt>
                <c:pt idx="225">
                  <c:v>30</c:v>
                </c:pt>
                <c:pt idx="226">
                  <c:v>27</c:v>
                </c:pt>
                <c:pt idx="227">
                  <c:v>32</c:v>
                </c:pt>
                <c:pt idx="228">
                  <c:v>33</c:v>
                </c:pt>
                <c:pt idx="229">
                  <c:v>37</c:v>
                </c:pt>
                <c:pt idx="230">
                  <c:v>33</c:v>
                </c:pt>
                <c:pt idx="231">
                  <c:v>35</c:v>
                </c:pt>
                <c:pt idx="232">
                  <c:v>45</c:v>
                </c:pt>
                <c:pt idx="233">
                  <c:v>26</c:v>
                </c:pt>
                <c:pt idx="234">
                  <c:v>24</c:v>
                </c:pt>
                <c:pt idx="235">
                  <c:v>34</c:v>
                </c:pt>
                <c:pt idx="236">
                  <c:v>31</c:v>
                </c:pt>
                <c:pt idx="237">
                  <c:v>42</c:v>
                </c:pt>
                <c:pt idx="238">
                  <c:v>31</c:v>
                </c:pt>
                <c:pt idx="239">
                  <c:v>34</c:v>
                </c:pt>
                <c:pt idx="240">
                  <c:v>38</c:v>
                </c:pt>
                <c:pt idx="241">
                  <c:v>39</c:v>
                </c:pt>
                <c:pt idx="242">
                  <c:v>25</c:v>
                </c:pt>
                <c:pt idx="243">
                  <c:v>28</c:v>
                </c:pt>
                <c:pt idx="244">
                  <c:v>35</c:v>
                </c:pt>
                <c:pt idx="245">
                  <c:v>35</c:v>
                </c:pt>
                <c:pt idx="246">
                  <c:v>37</c:v>
                </c:pt>
                <c:pt idx="247">
                  <c:v>31</c:v>
                </c:pt>
                <c:pt idx="248">
                  <c:v>24</c:v>
                </c:pt>
                <c:pt idx="249">
                  <c:v>28</c:v>
                </c:pt>
                <c:pt idx="250">
                  <c:v>29</c:v>
                </c:pt>
                <c:pt idx="251">
                  <c:v>34</c:v>
                </c:pt>
                <c:pt idx="252">
                  <c:v>32</c:v>
                </c:pt>
                <c:pt idx="253">
                  <c:v>29</c:v>
                </c:pt>
                <c:pt idx="254">
                  <c:v>21</c:v>
                </c:pt>
                <c:pt idx="255">
                  <c:v>29</c:v>
                </c:pt>
                <c:pt idx="256">
                  <c:v>24</c:v>
                </c:pt>
                <c:pt idx="257">
                  <c:v>28</c:v>
                </c:pt>
                <c:pt idx="258">
                  <c:v>44</c:v>
                </c:pt>
                <c:pt idx="259">
                  <c:v>35</c:v>
                </c:pt>
                <c:pt idx="260">
                  <c:v>38</c:v>
                </c:pt>
                <c:pt idx="261">
                  <c:v>28</c:v>
                </c:pt>
                <c:pt idx="262">
                  <c:v>34</c:v>
                </c:pt>
                <c:pt idx="263">
                  <c:v>26</c:v>
                </c:pt>
                <c:pt idx="264">
                  <c:v>36</c:v>
                </c:pt>
                <c:pt idx="265">
                  <c:v>32</c:v>
                </c:pt>
                <c:pt idx="266">
                  <c:v>25</c:v>
                </c:pt>
                <c:pt idx="267">
                  <c:v>30</c:v>
                </c:pt>
                <c:pt idx="268">
                  <c:v>29</c:v>
                </c:pt>
                <c:pt idx="269">
                  <c:v>32</c:v>
                </c:pt>
                <c:pt idx="270">
                  <c:v>29</c:v>
                </c:pt>
                <c:pt idx="271">
                  <c:v>33</c:v>
                </c:pt>
                <c:pt idx="272">
                  <c:v>32</c:v>
                </c:pt>
                <c:pt idx="273">
                  <c:v>36</c:v>
                </c:pt>
                <c:pt idx="274">
                  <c:v>35</c:v>
                </c:pt>
                <c:pt idx="275">
                  <c:v>25</c:v>
                </c:pt>
                <c:pt idx="276">
                  <c:v>33</c:v>
                </c:pt>
                <c:pt idx="277">
                  <c:v>34</c:v>
                </c:pt>
                <c:pt idx="278">
                  <c:v>30</c:v>
                </c:pt>
                <c:pt idx="279">
                  <c:v>26</c:v>
                </c:pt>
                <c:pt idx="280">
                  <c:v>29</c:v>
                </c:pt>
                <c:pt idx="281">
                  <c:v>26</c:v>
                </c:pt>
                <c:pt idx="282">
                  <c:v>37</c:v>
                </c:pt>
                <c:pt idx="283">
                  <c:v>22</c:v>
                </c:pt>
                <c:pt idx="284">
                  <c:v>43</c:v>
                </c:pt>
                <c:pt idx="285">
                  <c:v>37</c:v>
                </c:pt>
                <c:pt idx="286">
                  <c:v>34</c:v>
                </c:pt>
                <c:pt idx="287">
                  <c:v>31</c:v>
                </c:pt>
                <c:pt idx="288">
                  <c:v>25</c:v>
                </c:pt>
                <c:pt idx="289">
                  <c:v>26</c:v>
                </c:pt>
                <c:pt idx="290">
                  <c:v>28</c:v>
                </c:pt>
                <c:pt idx="291">
                  <c:v>43</c:v>
                </c:pt>
                <c:pt idx="292">
                  <c:v>33</c:v>
                </c:pt>
                <c:pt idx="293">
                  <c:v>42</c:v>
                </c:pt>
                <c:pt idx="294">
                  <c:v>35</c:v>
                </c:pt>
                <c:pt idx="295">
                  <c:v>35</c:v>
                </c:pt>
                <c:pt idx="296">
                  <c:v>31</c:v>
                </c:pt>
                <c:pt idx="297">
                  <c:v>31</c:v>
                </c:pt>
                <c:pt idx="298">
                  <c:v>33</c:v>
                </c:pt>
                <c:pt idx="299">
                  <c:v>33</c:v>
                </c:pt>
                <c:pt idx="300">
                  <c:v>20</c:v>
                </c:pt>
                <c:pt idx="301">
                  <c:v>29</c:v>
                </c:pt>
                <c:pt idx="302">
                  <c:v>27</c:v>
                </c:pt>
                <c:pt idx="303">
                  <c:v>31</c:v>
                </c:pt>
                <c:pt idx="304">
                  <c:v>20</c:v>
                </c:pt>
                <c:pt idx="305">
                  <c:v>17</c:v>
                </c:pt>
                <c:pt idx="306">
                  <c:v>12</c:v>
                </c:pt>
                <c:pt idx="307">
                  <c:v>14</c:v>
                </c:pt>
                <c:pt idx="308">
                  <c:v>17</c:v>
                </c:pt>
                <c:pt idx="309">
                  <c:v>17</c:v>
                </c:pt>
                <c:pt idx="310">
                  <c:v>16</c:v>
                </c:pt>
                <c:pt idx="311">
                  <c:v>19</c:v>
                </c:pt>
                <c:pt idx="312">
                  <c:v>14</c:v>
                </c:pt>
                <c:pt idx="313">
                  <c:v>17</c:v>
                </c:pt>
                <c:pt idx="314">
                  <c:v>13</c:v>
                </c:pt>
                <c:pt idx="315">
                  <c:v>12</c:v>
                </c:pt>
                <c:pt idx="316">
                  <c:v>16</c:v>
                </c:pt>
                <c:pt idx="317">
                  <c:v>9</c:v>
                </c:pt>
                <c:pt idx="318">
                  <c:v>17</c:v>
                </c:pt>
                <c:pt idx="319">
                  <c:v>16</c:v>
                </c:pt>
                <c:pt idx="320">
                  <c:v>17</c:v>
                </c:pt>
                <c:pt idx="321">
                  <c:v>21</c:v>
                </c:pt>
                <c:pt idx="322">
                  <c:v>15</c:v>
                </c:pt>
                <c:pt idx="323">
                  <c:v>22</c:v>
                </c:pt>
                <c:pt idx="324">
                  <c:v>14</c:v>
                </c:pt>
                <c:pt idx="325">
                  <c:v>13</c:v>
                </c:pt>
                <c:pt idx="326">
                  <c:v>10</c:v>
                </c:pt>
                <c:pt idx="327">
                  <c:v>17</c:v>
                </c:pt>
                <c:pt idx="328">
                  <c:v>17</c:v>
                </c:pt>
                <c:pt idx="329">
                  <c:v>13</c:v>
                </c:pt>
                <c:pt idx="330">
                  <c:v>11</c:v>
                </c:pt>
                <c:pt idx="331">
                  <c:v>19</c:v>
                </c:pt>
                <c:pt idx="332">
                  <c:v>16</c:v>
                </c:pt>
                <c:pt idx="333">
                  <c:v>15</c:v>
                </c:pt>
                <c:pt idx="334">
                  <c:v>18</c:v>
                </c:pt>
                <c:pt idx="335">
                  <c:v>16</c:v>
                </c:pt>
                <c:pt idx="336">
                  <c:v>15</c:v>
                </c:pt>
                <c:pt idx="337">
                  <c:v>14</c:v>
                </c:pt>
                <c:pt idx="338">
                  <c:v>12</c:v>
                </c:pt>
                <c:pt idx="339">
                  <c:v>16</c:v>
                </c:pt>
                <c:pt idx="340">
                  <c:v>11</c:v>
                </c:pt>
                <c:pt idx="341">
                  <c:v>7</c:v>
                </c:pt>
                <c:pt idx="342">
                  <c:v>16</c:v>
                </c:pt>
                <c:pt idx="343">
                  <c:v>7</c:v>
                </c:pt>
                <c:pt idx="344">
                  <c:v>16</c:v>
                </c:pt>
                <c:pt idx="345">
                  <c:v>16</c:v>
                </c:pt>
                <c:pt idx="346">
                  <c:v>19</c:v>
                </c:pt>
                <c:pt idx="347">
                  <c:v>10</c:v>
                </c:pt>
                <c:pt idx="348">
                  <c:v>13</c:v>
                </c:pt>
                <c:pt idx="349">
                  <c:v>27</c:v>
                </c:pt>
                <c:pt idx="350">
                  <c:v>19</c:v>
                </c:pt>
                <c:pt idx="351">
                  <c:v>18</c:v>
                </c:pt>
                <c:pt idx="352">
                  <c:v>12</c:v>
                </c:pt>
                <c:pt idx="353">
                  <c:v>20</c:v>
                </c:pt>
                <c:pt idx="354">
                  <c:v>12</c:v>
                </c:pt>
                <c:pt idx="355">
                  <c:v>19</c:v>
                </c:pt>
                <c:pt idx="356">
                  <c:v>18</c:v>
                </c:pt>
                <c:pt idx="357">
                  <c:v>21</c:v>
                </c:pt>
                <c:pt idx="358">
                  <c:v>18</c:v>
                </c:pt>
                <c:pt idx="359">
                  <c:v>16</c:v>
                </c:pt>
                <c:pt idx="360">
                  <c:v>14</c:v>
                </c:pt>
                <c:pt idx="361">
                  <c:v>14</c:v>
                </c:pt>
                <c:pt idx="362">
                  <c:v>16</c:v>
                </c:pt>
                <c:pt idx="363">
                  <c:v>21</c:v>
                </c:pt>
                <c:pt idx="364">
                  <c:v>21</c:v>
                </c:pt>
                <c:pt idx="365">
                  <c:v>15</c:v>
                </c:pt>
              </c:numCache>
            </c:numRef>
          </c:val>
          <c:extLst>
            <c:ext xmlns:c16="http://schemas.microsoft.com/office/drawing/2014/chart" uri="{C3380CC4-5D6E-409C-BE32-E72D297353CC}">
              <c16:uniqueId val="{00000000-47E2-421F-A2A4-425D35EF651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453811744"/>
        <c:axId val="453812224"/>
      </c:areaChart>
      <c:catAx>
        <c:axId val="45381174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5400000" spcFirstLastPara="1" vertOverflow="ellipsis" wrap="square" anchor="ctr" anchorCtr="1"/>
          <a:lstStyle/>
          <a:p>
            <a:pPr>
              <a:defRPr sz="900" b="0" i="0" u="none" strike="noStrike" kern="1200" baseline="0">
                <a:solidFill>
                  <a:schemeClr val="lt1"/>
                </a:solidFill>
                <a:latin typeface="+mn-lt"/>
                <a:ea typeface="+mn-ea"/>
                <a:cs typeface="+mn-cs"/>
              </a:defRPr>
            </a:pPr>
            <a:endParaRPr lang="en-US"/>
          </a:p>
        </c:txPr>
        <c:crossAx val="453812224"/>
        <c:crosses val="autoZero"/>
        <c:auto val="1"/>
        <c:lblAlgn val="ctr"/>
        <c:lblOffset val="100"/>
        <c:noMultiLvlLbl val="0"/>
      </c:catAx>
      <c:valAx>
        <c:axId val="453812224"/>
        <c:scaling>
          <c:orientation val="minMax"/>
        </c:scaling>
        <c:delete val="1"/>
        <c:axPos val="l"/>
        <c:numFmt formatCode="0" sourceLinked="1"/>
        <c:majorTickMark val="out"/>
        <c:minorTickMark val="none"/>
        <c:tickLblPos val="nextTo"/>
        <c:crossAx val="45381174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Patient Visits'!A1"/><Relationship Id="rId13" Type="http://schemas.openxmlformats.org/officeDocument/2006/relationships/chart" Target="../charts/chart4.xml"/><Relationship Id="rId18" Type="http://schemas.openxmlformats.org/officeDocument/2006/relationships/image" Target="../media/image8.emf"/><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Avg. Satisfaction score'!A1"/><Relationship Id="rId17" Type="http://schemas.openxmlformats.org/officeDocument/2006/relationships/chart" Target="../charts/chart8.xml"/><Relationship Id="rId2" Type="http://schemas.openxmlformats.org/officeDocument/2006/relationships/image" Target="../media/image2.png"/><Relationship Id="rId16"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6.xml"/><Relationship Id="rId10" Type="http://schemas.openxmlformats.org/officeDocument/2006/relationships/hyperlink" Target="#'Avg. Wait Time'!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2</xdr:col>
      <xdr:colOff>1066800</xdr:colOff>
      <xdr:row>46</xdr:row>
      <xdr:rowOff>160020</xdr:rowOff>
    </xdr:from>
    <xdr:to>
      <xdr:col>4</xdr:col>
      <xdr:colOff>457200</xdr:colOff>
      <xdr:row>48</xdr:row>
      <xdr:rowOff>175260</xdr:rowOff>
    </xdr:to>
    <xdr:graphicFrame macro="">
      <xdr:nvGraphicFramePr>
        <xdr:cNvPr id="10" name="Chart 9">
          <a:extLst>
            <a:ext uri="{FF2B5EF4-FFF2-40B4-BE49-F238E27FC236}">
              <a16:creationId xmlns:a16="http://schemas.microsoft.com/office/drawing/2014/main" id="{9E219A1B-00C7-4C80-9D73-FB47E8DFC2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70658</xdr:colOff>
      <xdr:row>0</xdr:row>
      <xdr:rowOff>31865</xdr:rowOff>
    </xdr:from>
    <xdr:to>
      <xdr:col>7</xdr:col>
      <xdr:colOff>394855</xdr:colOff>
      <xdr:row>4</xdr:row>
      <xdr:rowOff>6928</xdr:rowOff>
    </xdr:to>
    <xdr:sp macro="" textlink="">
      <xdr:nvSpPr>
        <xdr:cNvPr id="2" name="Rectangle: Rounded Corners 1">
          <a:extLst>
            <a:ext uri="{FF2B5EF4-FFF2-40B4-BE49-F238E27FC236}">
              <a16:creationId xmlns:a16="http://schemas.microsoft.com/office/drawing/2014/main" id="{994D1986-2BF1-12AC-3CC4-19261D1961B6}"/>
            </a:ext>
          </a:extLst>
        </xdr:cNvPr>
        <xdr:cNvSpPr/>
      </xdr:nvSpPr>
      <xdr:spPr>
        <a:xfrm>
          <a:off x="70658" y="31865"/>
          <a:ext cx="4591397" cy="706583"/>
        </a:xfrm>
        <a:prstGeom prst="roundRect">
          <a:avLst/>
        </a:prstGeom>
        <a:solidFill>
          <a:schemeClr val="bg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IN" sz="1100">
            <a:solidFill>
              <a:schemeClr val="bg2"/>
            </a:solidFill>
          </a:endParaRPr>
        </a:p>
      </xdr:txBody>
    </xdr:sp>
    <xdr:clientData/>
  </xdr:twoCellAnchor>
  <xdr:twoCellAnchor>
    <xdr:from>
      <xdr:col>10</xdr:col>
      <xdr:colOff>160713</xdr:colOff>
      <xdr:row>0</xdr:row>
      <xdr:rowOff>52647</xdr:rowOff>
    </xdr:from>
    <xdr:to>
      <xdr:col>13</xdr:col>
      <xdr:colOff>325583</xdr:colOff>
      <xdr:row>11</xdr:row>
      <xdr:rowOff>138545</xdr:rowOff>
    </xdr:to>
    <xdr:sp macro="" textlink="">
      <xdr:nvSpPr>
        <xdr:cNvPr id="4" name="Rectangle: Rounded Corners 3">
          <a:extLst>
            <a:ext uri="{FF2B5EF4-FFF2-40B4-BE49-F238E27FC236}">
              <a16:creationId xmlns:a16="http://schemas.microsoft.com/office/drawing/2014/main" id="{71DA6E96-19C6-9E5E-B66D-18B84BE8F949}"/>
            </a:ext>
          </a:extLst>
        </xdr:cNvPr>
        <xdr:cNvSpPr/>
      </xdr:nvSpPr>
      <xdr:spPr>
        <a:xfrm>
          <a:off x="6256713" y="52647"/>
          <a:ext cx="1993670" cy="2067098"/>
        </a:xfrm>
        <a:prstGeom prst="roundRect">
          <a:avLst/>
        </a:prstGeom>
        <a:solidFill>
          <a:schemeClr val="bg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IN" sz="1100"/>
        </a:p>
      </xdr:txBody>
    </xdr:sp>
    <xdr:clientData/>
  </xdr:twoCellAnchor>
  <xdr:twoCellAnchor editAs="absolute">
    <xdr:from>
      <xdr:col>1</xdr:col>
      <xdr:colOff>335285</xdr:colOff>
      <xdr:row>4</xdr:row>
      <xdr:rowOff>55420</xdr:rowOff>
    </xdr:from>
    <xdr:to>
      <xdr:col>4</xdr:col>
      <xdr:colOff>193963</xdr:colOff>
      <xdr:row>9</xdr:row>
      <xdr:rowOff>166949</xdr:rowOff>
    </xdr:to>
    <xdr:sp macro="" textlink="">
      <xdr:nvSpPr>
        <xdr:cNvPr id="6" name="Rectangle: Rounded Corners 5">
          <a:extLst>
            <a:ext uri="{FF2B5EF4-FFF2-40B4-BE49-F238E27FC236}">
              <a16:creationId xmlns:a16="http://schemas.microsoft.com/office/drawing/2014/main" id="{364A2928-6D07-DEB6-4CF6-1389D27D1962}"/>
            </a:ext>
          </a:extLst>
        </xdr:cNvPr>
        <xdr:cNvSpPr/>
      </xdr:nvSpPr>
      <xdr:spPr>
        <a:xfrm>
          <a:off x="944885" y="775856"/>
          <a:ext cx="1687478" cy="1012075"/>
        </a:xfrm>
        <a:prstGeom prst="roundRect">
          <a:avLst/>
        </a:prstGeom>
        <a:solidFill>
          <a:schemeClr val="bg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IN" sz="1100"/>
        </a:p>
      </xdr:txBody>
    </xdr:sp>
    <xdr:clientData/>
  </xdr:twoCellAnchor>
  <xdr:twoCellAnchor>
    <xdr:from>
      <xdr:col>4</xdr:col>
      <xdr:colOff>280554</xdr:colOff>
      <xdr:row>4</xdr:row>
      <xdr:rowOff>55420</xdr:rowOff>
    </xdr:from>
    <xdr:to>
      <xdr:col>7</xdr:col>
      <xdr:colOff>138545</xdr:colOff>
      <xdr:row>9</xdr:row>
      <xdr:rowOff>166949</xdr:rowOff>
    </xdr:to>
    <xdr:sp macro="" textlink="">
      <xdr:nvSpPr>
        <xdr:cNvPr id="7" name="Rectangle: Rounded Corners 6">
          <a:extLst>
            <a:ext uri="{FF2B5EF4-FFF2-40B4-BE49-F238E27FC236}">
              <a16:creationId xmlns:a16="http://schemas.microsoft.com/office/drawing/2014/main" id="{81872310-9994-A669-85E7-6DB2B518823F}"/>
            </a:ext>
          </a:extLst>
        </xdr:cNvPr>
        <xdr:cNvSpPr/>
      </xdr:nvSpPr>
      <xdr:spPr>
        <a:xfrm>
          <a:off x="2718954" y="775856"/>
          <a:ext cx="1686791" cy="1012075"/>
        </a:xfrm>
        <a:prstGeom prst="roundRect">
          <a:avLst/>
        </a:prstGeom>
        <a:solidFill>
          <a:schemeClr val="bg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IN" sz="1100"/>
        </a:p>
      </xdr:txBody>
    </xdr:sp>
    <xdr:clientData/>
  </xdr:twoCellAnchor>
  <xdr:twoCellAnchor editAs="absolute">
    <xdr:from>
      <xdr:col>7</xdr:col>
      <xdr:colOff>229291</xdr:colOff>
      <xdr:row>4</xdr:row>
      <xdr:rowOff>61653</xdr:rowOff>
    </xdr:from>
    <xdr:to>
      <xdr:col>10</xdr:col>
      <xdr:colOff>104599</xdr:colOff>
      <xdr:row>9</xdr:row>
      <xdr:rowOff>173182</xdr:rowOff>
    </xdr:to>
    <xdr:sp macro="" textlink="">
      <xdr:nvSpPr>
        <xdr:cNvPr id="9" name="Rectangle: Rounded Corners 8">
          <a:extLst>
            <a:ext uri="{FF2B5EF4-FFF2-40B4-BE49-F238E27FC236}">
              <a16:creationId xmlns:a16="http://schemas.microsoft.com/office/drawing/2014/main" id="{7EFB281A-F041-8834-6FFA-00A70015A333}"/>
            </a:ext>
          </a:extLst>
        </xdr:cNvPr>
        <xdr:cNvSpPr/>
      </xdr:nvSpPr>
      <xdr:spPr>
        <a:xfrm>
          <a:off x="4496491" y="793173"/>
          <a:ext cx="1704108" cy="1025929"/>
        </a:xfrm>
        <a:prstGeom prst="roundRect">
          <a:avLst/>
        </a:prstGeom>
        <a:solidFill>
          <a:schemeClr val="bg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IN" sz="1100"/>
        </a:p>
      </xdr:txBody>
    </xdr:sp>
    <xdr:clientData/>
  </xdr:twoCellAnchor>
  <xdr:twoCellAnchor editAs="absolute">
    <xdr:from>
      <xdr:col>10</xdr:col>
      <xdr:colOff>146166</xdr:colOff>
      <xdr:row>12</xdr:row>
      <xdr:rowOff>6926</xdr:rowOff>
    </xdr:from>
    <xdr:to>
      <xdr:col>16</xdr:col>
      <xdr:colOff>554181</xdr:colOff>
      <xdr:row>24</xdr:row>
      <xdr:rowOff>117764</xdr:rowOff>
    </xdr:to>
    <xdr:sp macro="" textlink="">
      <xdr:nvSpPr>
        <xdr:cNvPr id="13" name="Rectangle: Rounded Corners 12">
          <a:extLst>
            <a:ext uri="{FF2B5EF4-FFF2-40B4-BE49-F238E27FC236}">
              <a16:creationId xmlns:a16="http://schemas.microsoft.com/office/drawing/2014/main" id="{CD6E17FF-611A-9C45-DC11-0CFA1C988600}"/>
            </a:ext>
          </a:extLst>
        </xdr:cNvPr>
        <xdr:cNvSpPr/>
      </xdr:nvSpPr>
      <xdr:spPr>
        <a:xfrm>
          <a:off x="6242166" y="2168235"/>
          <a:ext cx="4065615" cy="2272147"/>
        </a:xfrm>
        <a:prstGeom prst="roundRect">
          <a:avLst/>
        </a:prstGeom>
        <a:solidFill>
          <a:schemeClr val="bg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IN" sz="1100"/>
        </a:p>
      </xdr:txBody>
    </xdr:sp>
    <xdr:clientData/>
  </xdr:twoCellAnchor>
  <xdr:twoCellAnchor editAs="absolute">
    <xdr:from>
      <xdr:col>13</xdr:col>
      <xdr:colOff>380303</xdr:colOff>
      <xdr:row>0</xdr:row>
      <xdr:rowOff>55418</xdr:rowOff>
    </xdr:from>
    <xdr:to>
      <xdr:col>16</xdr:col>
      <xdr:colOff>547254</xdr:colOff>
      <xdr:row>11</xdr:row>
      <xdr:rowOff>145473</xdr:rowOff>
    </xdr:to>
    <xdr:sp macro="" textlink="">
      <xdr:nvSpPr>
        <xdr:cNvPr id="14" name="Rectangle: Rounded Corners 13">
          <a:extLst>
            <a:ext uri="{FF2B5EF4-FFF2-40B4-BE49-F238E27FC236}">
              <a16:creationId xmlns:a16="http://schemas.microsoft.com/office/drawing/2014/main" id="{CF983611-004A-5A7B-F761-74BFBCB8B444}"/>
            </a:ext>
          </a:extLst>
        </xdr:cNvPr>
        <xdr:cNvSpPr/>
      </xdr:nvSpPr>
      <xdr:spPr>
        <a:xfrm>
          <a:off x="8305103" y="55418"/>
          <a:ext cx="1995751" cy="2071255"/>
        </a:xfrm>
        <a:prstGeom prst="roundRect">
          <a:avLst/>
        </a:prstGeom>
        <a:solidFill>
          <a:schemeClr val="bg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IN" sz="1100"/>
        </a:p>
      </xdr:txBody>
    </xdr:sp>
    <xdr:clientData/>
  </xdr:twoCellAnchor>
  <xdr:twoCellAnchor>
    <xdr:from>
      <xdr:col>1</xdr:col>
      <xdr:colOff>110836</xdr:colOff>
      <xdr:row>1</xdr:row>
      <xdr:rowOff>41563</xdr:rowOff>
    </xdr:from>
    <xdr:to>
      <xdr:col>7</xdr:col>
      <xdr:colOff>207818</xdr:colOff>
      <xdr:row>3</xdr:row>
      <xdr:rowOff>41564</xdr:rowOff>
    </xdr:to>
    <xdr:sp macro="" textlink="">
      <xdr:nvSpPr>
        <xdr:cNvPr id="15" name="TextBox 14">
          <a:extLst>
            <a:ext uri="{FF2B5EF4-FFF2-40B4-BE49-F238E27FC236}">
              <a16:creationId xmlns:a16="http://schemas.microsoft.com/office/drawing/2014/main" id="{599E0FBC-E366-3C4B-6F89-9C30CAA8E415}"/>
            </a:ext>
          </a:extLst>
        </xdr:cNvPr>
        <xdr:cNvSpPr txBox="1"/>
      </xdr:nvSpPr>
      <xdr:spPr>
        <a:xfrm>
          <a:off x="720436" y="224443"/>
          <a:ext cx="3754582" cy="3657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800" b="1"/>
            <a:t>Hospital Emergency Room Dashboard </a:t>
          </a:r>
        </a:p>
      </xdr:txBody>
    </xdr:sp>
    <xdr:clientData/>
  </xdr:twoCellAnchor>
  <xdr:twoCellAnchor editAs="oneCell">
    <xdr:from>
      <xdr:col>0</xdr:col>
      <xdr:colOff>69272</xdr:colOff>
      <xdr:row>0</xdr:row>
      <xdr:rowOff>179952</xdr:rowOff>
    </xdr:from>
    <xdr:to>
      <xdr:col>1</xdr:col>
      <xdr:colOff>137261</xdr:colOff>
      <xdr:row>3</xdr:row>
      <xdr:rowOff>55418</xdr:rowOff>
    </xdr:to>
    <xdr:pic>
      <xdr:nvPicPr>
        <xdr:cNvPr id="17" name="Picture 16">
          <a:extLst>
            <a:ext uri="{FF2B5EF4-FFF2-40B4-BE49-F238E27FC236}">
              <a16:creationId xmlns:a16="http://schemas.microsoft.com/office/drawing/2014/main" id="{DA37C5AE-1CF8-6C00-D2D5-4A64BD8802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9272" y="179952"/>
          <a:ext cx="677589" cy="415793"/>
        </a:xfrm>
        <a:prstGeom prst="rect">
          <a:avLst/>
        </a:prstGeom>
        <a:solidFill>
          <a:schemeClr val="bg2"/>
        </a:solidFill>
      </xdr:spPr>
    </xdr:pic>
    <xdr:clientData/>
  </xdr:twoCellAnchor>
  <xdr:twoCellAnchor>
    <xdr:from>
      <xdr:col>2</xdr:col>
      <xdr:colOff>100444</xdr:colOff>
      <xdr:row>7</xdr:row>
      <xdr:rowOff>70663</xdr:rowOff>
    </xdr:from>
    <xdr:to>
      <xdr:col>3</xdr:col>
      <xdr:colOff>374074</xdr:colOff>
      <xdr:row>8</xdr:row>
      <xdr:rowOff>48491</xdr:rowOff>
    </xdr:to>
    <xdr:sp macro="" textlink="">
      <xdr:nvSpPr>
        <xdr:cNvPr id="20" name="TextBox 19">
          <a:extLst>
            <a:ext uri="{FF2B5EF4-FFF2-40B4-BE49-F238E27FC236}">
              <a16:creationId xmlns:a16="http://schemas.microsoft.com/office/drawing/2014/main" id="{D19FBFF2-1230-4FD6-A737-4BBCA98B0010}"/>
            </a:ext>
          </a:extLst>
        </xdr:cNvPr>
        <xdr:cNvSpPr txBox="1"/>
      </xdr:nvSpPr>
      <xdr:spPr>
        <a:xfrm>
          <a:off x="1319644" y="1331427"/>
          <a:ext cx="883230" cy="157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a:t>Total Patients</a:t>
          </a:r>
          <a:endParaRPr lang="en-US" b="0"/>
        </a:p>
      </xdr:txBody>
    </xdr:sp>
    <xdr:clientData/>
  </xdr:twoCellAnchor>
  <xdr:twoCellAnchor>
    <xdr:from>
      <xdr:col>2</xdr:col>
      <xdr:colOff>193962</xdr:colOff>
      <xdr:row>5</xdr:row>
      <xdr:rowOff>69274</xdr:rowOff>
    </xdr:from>
    <xdr:to>
      <xdr:col>3</xdr:col>
      <xdr:colOff>270164</xdr:colOff>
      <xdr:row>7</xdr:row>
      <xdr:rowOff>69273</xdr:rowOff>
    </xdr:to>
    <xdr:sp macro="" textlink="'Pivot report'!A4">
      <xdr:nvSpPr>
        <xdr:cNvPr id="21" name="TextBox 20">
          <a:extLst>
            <a:ext uri="{FF2B5EF4-FFF2-40B4-BE49-F238E27FC236}">
              <a16:creationId xmlns:a16="http://schemas.microsoft.com/office/drawing/2014/main" id="{31B89200-E32D-4F01-B726-01738ED1638C}"/>
            </a:ext>
          </a:extLst>
        </xdr:cNvPr>
        <xdr:cNvSpPr txBox="1"/>
      </xdr:nvSpPr>
      <xdr:spPr>
        <a:xfrm>
          <a:off x="1413162" y="983674"/>
          <a:ext cx="685802" cy="3657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60972833-3264-497D-A4B9-E08697FD768A}" type="TxLink">
            <a:rPr lang="en-US" sz="2400" b="1" i="0" u="none" strike="noStrike">
              <a:solidFill>
                <a:srgbClr val="000000"/>
              </a:solidFill>
              <a:latin typeface="Calibri"/>
              <a:ea typeface="Calibri"/>
              <a:cs typeface="Calibri"/>
            </a:rPr>
            <a:pPr algn="ctr"/>
            <a:t>9216</a:t>
          </a:fld>
          <a:endParaRPr lang="en-US" sz="2400" b="1"/>
        </a:p>
      </xdr:txBody>
    </xdr:sp>
    <xdr:clientData/>
  </xdr:twoCellAnchor>
  <xdr:twoCellAnchor>
    <xdr:from>
      <xdr:col>5</xdr:col>
      <xdr:colOff>127463</xdr:colOff>
      <xdr:row>5</xdr:row>
      <xdr:rowOff>60267</xdr:rowOff>
    </xdr:from>
    <xdr:to>
      <xdr:col>6</xdr:col>
      <xdr:colOff>311729</xdr:colOff>
      <xdr:row>7</xdr:row>
      <xdr:rowOff>74118</xdr:rowOff>
    </xdr:to>
    <xdr:sp macro="" textlink="'Pivot report'!A7">
      <xdr:nvSpPr>
        <xdr:cNvPr id="22" name="TextBox 21">
          <a:extLst>
            <a:ext uri="{FF2B5EF4-FFF2-40B4-BE49-F238E27FC236}">
              <a16:creationId xmlns:a16="http://schemas.microsoft.com/office/drawing/2014/main" id="{FA4E84FE-1D17-41DD-814E-C15AC42DED57}"/>
            </a:ext>
          </a:extLst>
        </xdr:cNvPr>
        <xdr:cNvSpPr txBox="1"/>
      </xdr:nvSpPr>
      <xdr:spPr>
        <a:xfrm>
          <a:off x="3175463" y="974667"/>
          <a:ext cx="793866" cy="379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6111B6CA-4868-4E19-B4A0-C5ACF9AFBF5F}" type="TxLink">
            <a:rPr lang="en-US" sz="2400" b="1" i="0" u="none" strike="noStrike">
              <a:solidFill>
                <a:srgbClr val="000000"/>
              </a:solidFill>
              <a:latin typeface="Calibri"/>
              <a:ea typeface="Calibri"/>
              <a:cs typeface="Calibri"/>
            </a:rPr>
            <a:pPr algn="ctr"/>
            <a:t>35.26</a:t>
          </a:fld>
          <a:endParaRPr lang="en-US" sz="2400" b="1"/>
        </a:p>
      </xdr:txBody>
    </xdr:sp>
    <xdr:clientData/>
  </xdr:twoCellAnchor>
  <xdr:twoCellAnchor>
    <xdr:from>
      <xdr:col>4</xdr:col>
      <xdr:colOff>570810</xdr:colOff>
      <xdr:row>7</xdr:row>
      <xdr:rowOff>56108</xdr:rowOff>
    </xdr:from>
    <xdr:to>
      <xdr:col>6</xdr:col>
      <xdr:colOff>519546</xdr:colOff>
      <xdr:row>9</xdr:row>
      <xdr:rowOff>75507</xdr:rowOff>
    </xdr:to>
    <xdr:sp macro="" textlink="">
      <xdr:nvSpPr>
        <xdr:cNvPr id="24" name="TextBox 23">
          <a:extLst>
            <a:ext uri="{FF2B5EF4-FFF2-40B4-BE49-F238E27FC236}">
              <a16:creationId xmlns:a16="http://schemas.microsoft.com/office/drawing/2014/main" id="{2284ED54-CF44-40F8-A487-620325714A3E}"/>
            </a:ext>
          </a:extLst>
        </xdr:cNvPr>
        <xdr:cNvSpPr txBox="1"/>
      </xdr:nvSpPr>
      <xdr:spPr>
        <a:xfrm>
          <a:off x="3009210" y="1336268"/>
          <a:ext cx="1167936" cy="3851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a:t>Avg. Wait Time (Min)</a:t>
          </a:r>
          <a:endParaRPr lang="en-US" sz="1100" b="0" i="0" u="none" strike="noStrike">
            <a:solidFill>
              <a:srgbClr val="000000"/>
            </a:solidFill>
            <a:latin typeface="Calibri"/>
            <a:ea typeface="Calibri"/>
            <a:cs typeface="Calibri"/>
          </a:endParaRPr>
        </a:p>
      </xdr:txBody>
    </xdr:sp>
    <xdr:clientData/>
  </xdr:twoCellAnchor>
  <xdr:twoCellAnchor>
    <xdr:from>
      <xdr:col>7</xdr:col>
      <xdr:colOff>527164</xdr:colOff>
      <xdr:row>7</xdr:row>
      <xdr:rowOff>38099</xdr:rowOff>
    </xdr:from>
    <xdr:to>
      <xdr:col>9</xdr:col>
      <xdr:colOff>392775</xdr:colOff>
      <xdr:row>9</xdr:row>
      <xdr:rowOff>31864</xdr:rowOff>
    </xdr:to>
    <xdr:sp macro="" textlink="">
      <xdr:nvSpPr>
        <xdr:cNvPr id="25" name="TextBox 24">
          <a:extLst>
            <a:ext uri="{FF2B5EF4-FFF2-40B4-BE49-F238E27FC236}">
              <a16:creationId xmlns:a16="http://schemas.microsoft.com/office/drawing/2014/main" id="{9EF747AD-C851-4437-89CE-47822E8A148D}"/>
            </a:ext>
          </a:extLst>
        </xdr:cNvPr>
        <xdr:cNvSpPr txBox="1"/>
      </xdr:nvSpPr>
      <xdr:spPr>
        <a:xfrm>
          <a:off x="4794364" y="1318259"/>
          <a:ext cx="1084811" cy="35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a:t>Avg. Satisfaction Score (out</a:t>
          </a:r>
          <a:r>
            <a:rPr lang="en-IN" baseline="0"/>
            <a:t> of 10)</a:t>
          </a:r>
          <a:endParaRPr lang="en-US" sz="1100" b="0" i="0" u="none" strike="noStrike">
            <a:solidFill>
              <a:schemeClr val="tx1"/>
            </a:solidFill>
            <a:latin typeface="Calibri"/>
            <a:ea typeface="Calibri"/>
            <a:cs typeface="Calibri"/>
          </a:endParaRPr>
        </a:p>
      </xdr:txBody>
    </xdr:sp>
    <xdr:clientData/>
  </xdr:twoCellAnchor>
  <xdr:twoCellAnchor>
    <xdr:from>
      <xdr:col>8</xdr:col>
      <xdr:colOff>148245</xdr:colOff>
      <xdr:row>5</xdr:row>
      <xdr:rowOff>65812</xdr:rowOff>
    </xdr:from>
    <xdr:to>
      <xdr:col>9</xdr:col>
      <xdr:colOff>159329</xdr:colOff>
      <xdr:row>7</xdr:row>
      <xdr:rowOff>31865</xdr:rowOff>
    </xdr:to>
    <xdr:sp macro="" textlink="'Pivot report'!A11">
      <xdr:nvSpPr>
        <xdr:cNvPr id="26" name="TextBox 25">
          <a:extLst>
            <a:ext uri="{FF2B5EF4-FFF2-40B4-BE49-F238E27FC236}">
              <a16:creationId xmlns:a16="http://schemas.microsoft.com/office/drawing/2014/main" id="{92331FD0-CFDB-4DFF-931F-D11E878D3AA4}"/>
            </a:ext>
          </a:extLst>
        </xdr:cNvPr>
        <xdr:cNvSpPr txBox="1"/>
      </xdr:nvSpPr>
      <xdr:spPr>
        <a:xfrm>
          <a:off x="5025045" y="980212"/>
          <a:ext cx="620684" cy="331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34881D8C-80B6-43DD-906F-B0C211A51D6C}" type="TxLink">
            <a:rPr lang="en-US" sz="2400" b="1" i="0" u="none" strike="noStrike">
              <a:solidFill>
                <a:srgbClr val="000000"/>
              </a:solidFill>
              <a:latin typeface="Calibri"/>
              <a:ea typeface="Calibri"/>
              <a:cs typeface="Calibri"/>
            </a:rPr>
            <a:pPr algn="ctr"/>
            <a:t>4.99</a:t>
          </a:fld>
          <a:endParaRPr lang="en-US" sz="2400" b="1"/>
        </a:p>
      </xdr:txBody>
    </xdr:sp>
    <xdr:clientData/>
  </xdr:twoCellAnchor>
  <xdr:twoCellAnchor editAs="oneCell">
    <xdr:from>
      <xdr:col>1</xdr:col>
      <xdr:colOff>429491</xdr:colOff>
      <xdr:row>4</xdr:row>
      <xdr:rowOff>83129</xdr:rowOff>
    </xdr:from>
    <xdr:to>
      <xdr:col>2</xdr:col>
      <xdr:colOff>103909</xdr:colOff>
      <xdr:row>6</xdr:row>
      <xdr:rowOff>6928</xdr:rowOff>
    </xdr:to>
    <xdr:pic>
      <xdr:nvPicPr>
        <xdr:cNvPr id="28" name="Graphic 27" descr="User">
          <a:extLst>
            <a:ext uri="{FF2B5EF4-FFF2-40B4-BE49-F238E27FC236}">
              <a16:creationId xmlns:a16="http://schemas.microsoft.com/office/drawing/2014/main" id="{190A6EB7-218D-0A4F-FB73-1D8998FB4B2F}"/>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039091" y="814649"/>
          <a:ext cx="284018" cy="289559"/>
        </a:xfrm>
        <a:prstGeom prst="rect">
          <a:avLst/>
        </a:prstGeom>
      </xdr:spPr>
    </xdr:pic>
    <xdr:clientData/>
  </xdr:twoCellAnchor>
  <xdr:twoCellAnchor editAs="oneCell">
    <xdr:from>
      <xdr:col>4</xdr:col>
      <xdr:colOff>332507</xdr:colOff>
      <xdr:row>4</xdr:row>
      <xdr:rowOff>110836</xdr:rowOff>
    </xdr:from>
    <xdr:to>
      <xdr:col>4</xdr:col>
      <xdr:colOff>595744</xdr:colOff>
      <xdr:row>6</xdr:row>
      <xdr:rowOff>13854</xdr:rowOff>
    </xdr:to>
    <xdr:pic>
      <xdr:nvPicPr>
        <xdr:cNvPr id="30" name="Graphic 29" descr="Hourglass">
          <a:extLst>
            <a:ext uri="{FF2B5EF4-FFF2-40B4-BE49-F238E27FC236}">
              <a16:creationId xmlns:a16="http://schemas.microsoft.com/office/drawing/2014/main" id="{6ADBB463-5303-D386-6DBE-AAF630F8E58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770907" y="831272"/>
          <a:ext cx="263237" cy="263237"/>
        </a:xfrm>
        <a:prstGeom prst="rect">
          <a:avLst/>
        </a:prstGeom>
      </xdr:spPr>
    </xdr:pic>
    <xdr:clientData/>
  </xdr:twoCellAnchor>
  <xdr:twoCellAnchor editAs="oneCell">
    <xdr:from>
      <xdr:col>7</xdr:col>
      <xdr:colOff>332508</xdr:colOff>
      <xdr:row>4</xdr:row>
      <xdr:rowOff>117764</xdr:rowOff>
    </xdr:from>
    <xdr:to>
      <xdr:col>7</xdr:col>
      <xdr:colOff>609599</xdr:colOff>
      <xdr:row>6</xdr:row>
      <xdr:rowOff>34636</xdr:rowOff>
    </xdr:to>
    <xdr:pic>
      <xdr:nvPicPr>
        <xdr:cNvPr id="34" name="Graphic 33" descr="Customer review RTL">
          <a:extLst>
            <a:ext uri="{FF2B5EF4-FFF2-40B4-BE49-F238E27FC236}">
              <a16:creationId xmlns:a16="http://schemas.microsoft.com/office/drawing/2014/main" id="{B8EFE924-10C5-D35E-C83A-A02A7315A0A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599708" y="838200"/>
          <a:ext cx="277091" cy="277091"/>
        </a:xfrm>
        <a:prstGeom prst="rect">
          <a:avLst/>
        </a:prstGeom>
      </xdr:spPr>
    </xdr:pic>
    <xdr:clientData/>
  </xdr:twoCellAnchor>
  <xdr:twoCellAnchor>
    <xdr:from>
      <xdr:col>1</xdr:col>
      <xdr:colOff>312421</xdr:colOff>
      <xdr:row>8</xdr:row>
      <xdr:rowOff>7620</xdr:rowOff>
    </xdr:from>
    <xdr:to>
      <xdr:col>4</xdr:col>
      <xdr:colOff>208511</xdr:colOff>
      <xdr:row>9</xdr:row>
      <xdr:rowOff>181494</xdr:rowOff>
    </xdr:to>
    <xdr:graphicFrame macro="">
      <xdr:nvGraphicFramePr>
        <xdr:cNvPr id="40" name="Chart 39">
          <a:hlinkClick xmlns:r="http://schemas.openxmlformats.org/officeDocument/2006/relationships" r:id="rId8"/>
          <a:extLst>
            <a:ext uri="{FF2B5EF4-FFF2-40B4-BE49-F238E27FC236}">
              <a16:creationId xmlns:a16="http://schemas.microsoft.com/office/drawing/2014/main" id="{7124563C-E36C-4BC6-B602-6951B771A3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166255</xdr:colOff>
      <xdr:row>8</xdr:row>
      <xdr:rowOff>69272</xdr:rowOff>
    </xdr:from>
    <xdr:to>
      <xdr:col>7</xdr:col>
      <xdr:colOff>256308</xdr:colOff>
      <xdr:row>10</xdr:row>
      <xdr:rowOff>138545</xdr:rowOff>
    </xdr:to>
    <xdr:graphicFrame macro="">
      <xdr:nvGraphicFramePr>
        <xdr:cNvPr id="41" name="Chart 40">
          <a:hlinkClick xmlns:r="http://schemas.openxmlformats.org/officeDocument/2006/relationships" r:id="rId10"/>
          <a:extLst>
            <a:ext uri="{FF2B5EF4-FFF2-40B4-BE49-F238E27FC236}">
              <a16:creationId xmlns:a16="http://schemas.microsoft.com/office/drawing/2014/main" id="{AFEDD068-F72E-4AF3-A3FD-F359B45BD0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243840</xdr:colOff>
      <xdr:row>7</xdr:row>
      <xdr:rowOff>114300</xdr:rowOff>
    </xdr:from>
    <xdr:to>
      <xdr:col>10</xdr:col>
      <xdr:colOff>131618</xdr:colOff>
      <xdr:row>10</xdr:row>
      <xdr:rowOff>38101</xdr:rowOff>
    </xdr:to>
    <xdr:graphicFrame macro="">
      <xdr:nvGraphicFramePr>
        <xdr:cNvPr id="42" name="Chart 41">
          <a:hlinkClick xmlns:r="http://schemas.openxmlformats.org/officeDocument/2006/relationships" r:id="rId12"/>
          <a:extLst>
            <a:ext uri="{FF2B5EF4-FFF2-40B4-BE49-F238E27FC236}">
              <a16:creationId xmlns:a16="http://schemas.microsoft.com/office/drawing/2014/main" id="{AE0DA80A-9EAC-4505-805C-7E60ED2FD6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326970</xdr:colOff>
      <xdr:row>13</xdr:row>
      <xdr:rowOff>138546</xdr:rowOff>
    </xdr:from>
    <xdr:to>
      <xdr:col>10</xdr:col>
      <xdr:colOff>76200</xdr:colOff>
      <xdr:row>24</xdr:row>
      <xdr:rowOff>96982</xdr:rowOff>
    </xdr:to>
    <xdr:graphicFrame macro="">
      <xdr:nvGraphicFramePr>
        <xdr:cNvPr id="50" name="Chart 49">
          <a:extLst>
            <a:ext uri="{FF2B5EF4-FFF2-40B4-BE49-F238E27FC236}">
              <a16:creationId xmlns:a16="http://schemas.microsoft.com/office/drawing/2014/main" id="{C8BB1D1C-4A9A-4FF0-86C3-9245DF2DB5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xdr:col>
      <xdr:colOff>124691</xdr:colOff>
      <xdr:row>0</xdr:row>
      <xdr:rowOff>96980</xdr:rowOff>
    </xdr:from>
    <xdr:to>
      <xdr:col>13</xdr:col>
      <xdr:colOff>290944</xdr:colOff>
      <xdr:row>11</xdr:row>
      <xdr:rowOff>110836</xdr:rowOff>
    </xdr:to>
    <xdr:graphicFrame macro="">
      <xdr:nvGraphicFramePr>
        <xdr:cNvPr id="51" name="Chart 50">
          <a:extLst>
            <a:ext uri="{FF2B5EF4-FFF2-40B4-BE49-F238E27FC236}">
              <a16:creationId xmlns:a16="http://schemas.microsoft.com/office/drawing/2014/main" id="{7A3DC2ED-8BAB-4988-9844-64C3D0DFA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13</xdr:col>
      <xdr:colOff>318654</xdr:colOff>
      <xdr:row>0</xdr:row>
      <xdr:rowOff>76200</xdr:rowOff>
    </xdr:from>
    <xdr:to>
      <xdr:col>16</xdr:col>
      <xdr:colOff>519545</xdr:colOff>
      <xdr:row>11</xdr:row>
      <xdr:rowOff>117764</xdr:rowOff>
    </xdr:to>
    <xdr:graphicFrame macro="">
      <xdr:nvGraphicFramePr>
        <xdr:cNvPr id="53" name="Chart 52">
          <a:extLst>
            <a:ext uri="{FF2B5EF4-FFF2-40B4-BE49-F238E27FC236}">
              <a16:creationId xmlns:a16="http://schemas.microsoft.com/office/drawing/2014/main" id="{91D287E9-6EAA-4A72-A139-967190EBE3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221670</xdr:colOff>
      <xdr:row>12</xdr:row>
      <xdr:rowOff>41565</xdr:rowOff>
    </xdr:from>
    <xdr:to>
      <xdr:col>16</xdr:col>
      <xdr:colOff>547255</xdr:colOff>
      <xdr:row>24</xdr:row>
      <xdr:rowOff>55418</xdr:rowOff>
    </xdr:to>
    <xdr:graphicFrame macro="">
      <xdr:nvGraphicFramePr>
        <xdr:cNvPr id="54" name="Chart 53">
          <a:extLst>
            <a:ext uri="{FF2B5EF4-FFF2-40B4-BE49-F238E27FC236}">
              <a16:creationId xmlns:a16="http://schemas.microsoft.com/office/drawing/2014/main" id="{3B1567E6-0D88-4378-ADD3-44B29D9E4E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62345</xdr:colOff>
      <xdr:row>4</xdr:row>
      <xdr:rowOff>41564</xdr:rowOff>
    </xdr:from>
    <xdr:to>
      <xdr:col>1</xdr:col>
      <xdr:colOff>270164</xdr:colOff>
      <xdr:row>24</xdr:row>
      <xdr:rowOff>124691</xdr:rowOff>
    </xdr:to>
    <xdr:sp macro="" textlink="">
      <xdr:nvSpPr>
        <xdr:cNvPr id="59" name="Rectangle: Rounded Corners 58">
          <a:extLst>
            <a:ext uri="{FF2B5EF4-FFF2-40B4-BE49-F238E27FC236}">
              <a16:creationId xmlns:a16="http://schemas.microsoft.com/office/drawing/2014/main" id="{BEFF2C11-A4A2-AD74-11A7-F6220A2B7C48}"/>
            </a:ext>
          </a:extLst>
        </xdr:cNvPr>
        <xdr:cNvSpPr/>
      </xdr:nvSpPr>
      <xdr:spPr>
        <a:xfrm>
          <a:off x="62345" y="762000"/>
          <a:ext cx="817419" cy="3685309"/>
        </a:xfrm>
        <a:prstGeom prst="roundRect">
          <a:avLst/>
        </a:prstGeom>
        <a:solidFill>
          <a:schemeClr val="bg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103910</xdr:colOff>
      <xdr:row>4</xdr:row>
      <xdr:rowOff>103908</xdr:rowOff>
    </xdr:from>
    <xdr:to>
      <xdr:col>1</xdr:col>
      <xdr:colOff>187038</xdr:colOff>
      <xdr:row>24</xdr:row>
      <xdr:rowOff>34636</xdr:rowOff>
    </xdr:to>
    <mc:AlternateContent xmlns:mc="http://schemas.openxmlformats.org/markup-compatibility/2006" xmlns:a14="http://schemas.microsoft.com/office/drawing/2010/main">
      <mc:Choice Requires="a14">
        <xdr:graphicFrame macro="">
          <xdr:nvGraphicFramePr>
            <xdr:cNvPr id="60" name="Date (Month) 2">
              <a:extLst>
                <a:ext uri="{FF2B5EF4-FFF2-40B4-BE49-F238E27FC236}">
                  <a16:creationId xmlns:a16="http://schemas.microsoft.com/office/drawing/2014/main" id="{FFDDE538-7399-450F-BBEA-C0D3951D492B}"/>
                </a:ext>
              </a:extLst>
            </xdr:cNvPr>
            <xdr:cNvGraphicFramePr/>
          </xdr:nvGraphicFramePr>
          <xdr:xfrm>
            <a:off x="0" y="0"/>
            <a:ext cx="0" cy="0"/>
          </xdr:xfrm>
          <a:graphic>
            <a:graphicData uri="http://schemas.microsoft.com/office/drawing/2010/slicer">
              <sle:slicer xmlns:sle="http://schemas.microsoft.com/office/drawing/2010/slicer" name="Date (Month) 2"/>
            </a:graphicData>
          </a:graphic>
        </xdr:graphicFrame>
      </mc:Choice>
      <mc:Fallback xmlns="">
        <xdr:sp macro="" textlink="">
          <xdr:nvSpPr>
            <xdr:cNvPr id="0" name=""/>
            <xdr:cNvSpPr>
              <a:spLocks noTextEdit="1"/>
            </xdr:cNvSpPr>
          </xdr:nvSpPr>
          <xdr:spPr>
            <a:xfrm>
              <a:off x="103910" y="824344"/>
              <a:ext cx="692728" cy="35329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436418</xdr:colOff>
      <xdr:row>0</xdr:row>
      <xdr:rowOff>34635</xdr:rowOff>
    </xdr:from>
    <xdr:to>
      <xdr:col>10</xdr:col>
      <xdr:colOff>76198</xdr:colOff>
      <xdr:row>4</xdr:row>
      <xdr:rowOff>0</xdr:rowOff>
    </xdr:to>
    <xdr:sp macro="" textlink="">
      <xdr:nvSpPr>
        <xdr:cNvPr id="62" name="Rectangle: Rounded Corners 61">
          <a:extLst>
            <a:ext uri="{FF2B5EF4-FFF2-40B4-BE49-F238E27FC236}">
              <a16:creationId xmlns:a16="http://schemas.microsoft.com/office/drawing/2014/main" id="{DDB754D2-08D4-D2AF-21C6-EF56133FA643}"/>
            </a:ext>
          </a:extLst>
        </xdr:cNvPr>
        <xdr:cNvSpPr/>
      </xdr:nvSpPr>
      <xdr:spPr>
        <a:xfrm>
          <a:off x="4703618" y="34635"/>
          <a:ext cx="1468580" cy="685801"/>
        </a:xfrm>
        <a:prstGeom prst="roundRect">
          <a:avLst/>
        </a:prstGeom>
        <a:solidFill>
          <a:schemeClr val="bg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7</xdr:col>
      <xdr:colOff>533400</xdr:colOff>
      <xdr:row>0</xdr:row>
      <xdr:rowOff>62346</xdr:rowOff>
    </xdr:from>
    <xdr:to>
      <xdr:col>9</xdr:col>
      <xdr:colOff>568037</xdr:colOff>
      <xdr:row>3</xdr:row>
      <xdr:rowOff>173183</xdr:rowOff>
    </xdr:to>
    <mc:AlternateContent xmlns:mc="http://schemas.openxmlformats.org/markup-compatibility/2006" xmlns:a14="http://schemas.microsoft.com/office/drawing/2010/main">
      <mc:Choice Requires="a14">
        <xdr:graphicFrame macro="">
          <xdr:nvGraphicFramePr>
            <xdr:cNvPr id="65" name="Date (Year) 1">
              <a:extLst>
                <a:ext uri="{FF2B5EF4-FFF2-40B4-BE49-F238E27FC236}">
                  <a16:creationId xmlns:a16="http://schemas.microsoft.com/office/drawing/2014/main" id="{DDA6D375-B9B5-4F24-AA1B-223B3DE804CC}"/>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4800600" y="62346"/>
              <a:ext cx="1253837" cy="6511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1</xdr:col>
          <xdr:colOff>340129</xdr:colOff>
          <xdr:row>10</xdr:row>
          <xdr:rowOff>31866</xdr:rowOff>
        </xdr:from>
        <xdr:to>
          <xdr:col>10</xdr:col>
          <xdr:colOff>97675</xdr:colOff>
          <xdr:row>13</xdr:row>
          <xdr:rowOff>39486</xdr:rowOff>
        </xdr:to>
        <xdr:pic>
          <xdr:nvPicPr>
            <xdr:cNvPr id="77" name="Picture 76">
              <a:extLst>
                <a:ext uri="{FF2B5EF4-FFF2-40B4-BE49-F238E27FC236}">
                  <a16:creationId xmlns:a16="http://schemas.microsoft.com/office/drawing/2014/main" id="{A3EFCF41-2F9E-2AF3-C523-59E7F19854DD}"/>
                </a:ext>
              </a:extLst>
            </xdr:cNvPr>
            <xdr:cNvPicPr>
              <a:picLocks noChangeAspect="1" noChangeArrowheads="1"/>
              <a:extLst>
                <a:ext uri="{84589F7E-364E-4C9E-8A38-B11213B215E9}">
                  <a14:cameraTool cellRange="'Pivot report'!$A$47:$D$49" spid="_x0000_s2080"/>
                </a:ext>
              </a:extLst>
            </xdr:cNvPicPr>
          </xdr:nvPicPr>
          <xdr:blipFill>
            <a:blip xmlns:r="http://schemas.openxmlformats.org/officeDocument/2006/relationships" r:embed="rId18"/>
            <a:srcRect/>
            <a:stretch>
              <a:fillRect/>
            </a:stretch>
          </xdr:blipFill>
          <xdr:spPr bwMode="auto">
            <a:xfrm>
              <a:off x="949729" y="1860666"/>
              <a:ext cx="5243946" cy="556260"/>
            </a:xfrm>
            <a:prstGeom prst="roundRect">
              <a:avLst>
                <a:gd name="adj" fmla="val 16667"/>
              </a:avLst>
            </a:prstGeom>
            <a:ln>
              <a:noFill/>
            </a:ln>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16</xdr:col>
      <xdr:colOff>502920</xdr:colOff>
      <xdr:row>22</xdr:row>
      <xdr:rowOff>106680</xdr:rowOff>
    </xdr:to>
    <xdr:graphicFrame macro="">
      <xdr:nvGraphicFramePr>
        <xdr:cNvPr id="2" name="Chart 1">
          <a:extLst>
            <a:ext uri="{FF2B5EF4-FFF2-40B4-BE49-F238E27FC236}">
              <a16:creationId xmlns:a16="http://schemas.microsoft.com/office/drawing/2014/main" id="{83F0238E-5B2B-4E9E-9040-632624BEAB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0.00495</cdr:x>
      <cdr:y>0.0123</cdr:y>
    </cdr:from>
    <cdr:to>
      <cdr:x>0.04507</cdr:x>
      <cdr:y>0.11193</cdr:y>
    </cdr:to>
    <cdr:pic>
      <cdr:nvPicPr>
        <cdr:cNvPr id="2" name="Graphic 3"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9B0703C2-CCC0-838B-37FB-780832BB4DF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411480" cy="41148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342900</xdr:colOff>
      <xdr:row>20</xdr:row>
      <xdr:rowOff>167640</xdr:rowOff>
    </xdr:to>
    <xdr:graphicFrame macro="">
      <xdr:nvGraphicFramePr>
        <xdr:cNvPr id="2" name="Chart 1">
          <a:extLst>
            <a:ext uri="{FF2B5EF4-FFF2-40B4-BE49-F238E27FC236}">
              <a16:creationId xmlns:a16="http://schemas.microsoft.com/office/drawing/2014/main" id="{C71BCA19-CD5A-42F6-9AFB-230B9C5F30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68580</xdr:colOff>
      <xdr:row>0</xdr:row>
      <xdr:rowOff>38100</xdr:rowOff>
    </xdr:from>
    <xdr:to>
      <xdr:col>0</xdr:col>
      <xdr:colOff>480060</xdr:colOff>
      <xdr:row>2</xdr:row>
      <xdr:rowOff>83820</xdr:rowOff>
    </xdr:to>
    <xdr:pic>
      <xdr:nvPicPr>
        <xdr:cNvPr id="4" name="Graphic 3" descr="Home">
          <a:hlinkClick xmlns:r="http://schemas.openxmlformats.org/officeDocument/2006/relationships" r:id="rId2"/>
          <a:extLst>
            <a:ext uri="{FF2B5EF4-FFF2-40B4-BE49-F238E27FC236}">
              <a16:creationId xmlns:a16="http://schemas.microsoft.com/office/drawing/2014/main" id="{9B0703C2-CCC0-838B-37FB-780832BB4DF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 y="38100"/>
          <a:ext cx="411480" cy="41148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15240</xdr:rowOff>
    </xdr:from>
    <xdr:to>
      <xdr:col>17</xdr:col>
      <xdr:colOff>0</xdr:colOff>
      <xdr:row>23</xdr:row>
      <xdr:rowOff>7620</xdr:rowOff>
    </xdr:to>
    <xdr:graphicFrame macro="">
      <xdr:nvGraphicFramePr>
        <xdr:cNvPr id="2" name="Chart 1">
          <a:extLst>
            <a:ext uri="{FF2B5EF4-FFF2-40B4-BE49-F238E27FC236}">
              <a16:creationId xmlns:a16="http://schemas.microsoft.com/office/drawing/2014/main" id="{BAAC91B7-9254-4C48-B73B-F9C018FA4C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0.0049</cdr:x>
      <cdr:y>0.0121</cdr:y>
    </cdr:from>
    <cdr:to>
      <cdr:x>0.04461</cdr:x>
      <cdr:y>0.1101</cdr:y>
    </cdr:to>
    <cdr:pic>
      <cdr:nvPicPr>
        <cdr:cNvPr id="2" name="Graphic 3"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9B0703C2-CCC0-838B-37FB-780832BB4DF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411480" cy="41148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tkarsh Pratap" refreshedDate="46232.688150810187" backgroundQuery="1" createdVersion="8" refreshedVersion="8" minRefreshableVersion="3" recordCount="0" supportSubquery="1" supportAdvancedDrill="1" xr:uid="{B58C910B-C00A-425C-AD0A-FDA025F62C9C}">
  <cacheSource type="external" connectionId="3"/>
  <cacheFields count="3">
    <cacheField name="[Calendar table].[Date (Day)].[Date (Day)]" caption="Date (Day)" numFmtId="0" hierarchy="2" level="1">
      <sharedItems count="36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haredItems>
    </cacheField>
    <cacheField name="[Measures].[Distinct Count of Patient Id]" caption="Distinct Count of Patient Id" numFmtId="0" hierarchy="24" level="32767"/>
    <cacheField name="[Calendar table].[Date (Month)].[Date (Month)]" caption="Date (Month)" numFmtId="0" hierarchy="1"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2"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2"/>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fieldsUsage count="2">
        <fieldUsage x="-1"/>
        <fieldUsage x="0"/>
      </fieldsUsage>
    </cacheHierarchy>
    <cacheHierarchy uniqueName="[Calendar table].[Date (Year)]" caption="Date (Year)" attribute="1" defaultMemberUniqueName="[Calendar table].[Date (Year)].[All]" allUniqueName="[Calendar table].[Date (Year)].[All]" dimensionUniqueName="[Calendar table]" displayFolder="" count="2" memberValueDatatype="130" unbalanced="0"/>
    <cacheHierarchy uniqueName="[Calendar table].[Date (Quarter)]" caption="Date (Quarter)" attribute="1" defaultMemberUniqueName="[Calendar table].[Date (Quarter)].[All]" allUniqueName="[Calendar table].[Date (Quarter)].[All]" dimensionUniqueName="[Calendar 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Wait Time Status]" caption="Wait Time Status" attribute="1" defaultMemberUniqueName="[Hospital Emergency Room Data].[Wait Time Status].[All]" allUniqueName="[Hospital Emergency Room Data].[Wait Time Status].[All]" dimensionUniqueName="[Hospital Emergency Room Data]" displayFolder="" count="2" memberValueDatatype="130" unbalanced="0"/>
    <cacheHierarchy uniqueName="[Calendar table].[Date (Day Index)]" caption="Date (Day Index)" attribute="1" defaultMemberUniqueName="[Calendar table].[Date (Day Index)].[All]" allUniqueName="[Calendar table].[Date (Day Index)].[All]" dimensionUniqueName="[Calendar table]" displayFolder="" count="2"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Wait Time Status]" caption="Count of Wait Time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tkarsh Pratap" refreshedDate="46232.688151273149" backgroundQuery="1" createdVersion="8" refreshedVersion="8" minRefreshableVersion="3" recordCount="0" supportSubquery="1" supportAdvancedDrill="1" xr:uid="{3256A3F3-0CAD-4598-A905-B7881F3AB979}">
  <cacheSource type="external" connectionId="3"/>
  <cacheFields count="2">
    <cacheField name="[Measures].[Distinct Count of Patient Id]" caption="Distinct Count of Patient Id" numFmtId="0" hierarchy="24" level="32767"/>
    <cacheField name="[Calendar table].[Date (Month)].[Date (Month)]" caption="Date (Month)" numFmtId="0" hierarchy="1"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Wait Time Status]" caption="Wait Time Status" attribute="1" defaultMemberUniqueName="[Hospital Emergency Room Data].[Wait Time Status].[All]" allUniqueName="[Hospital Emergency Room Data].[Wait Time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Wait Time Status]" caption="Count of Wait Time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tkarsh Pratap" refreshedDate="46232.688151273149" backgroundQuery="1" createdVersion="8" refreshedVersion="8" minRefreshableVersion="3" recordCount="0" supportSubquery="1" supportAdvancedDrill="1" xr:uid="{328465A3-EBDA-4E09-BCC7-7902D3CF8287}">
  <cacheSource type="external" connectionId="3"/>
  <cacheFields count="2">
    <cacheField name="[Measures].[Average of Patient Waittime]" caption="Average of Patient Waittime" numFmtId="0" hierarchy="26" level="32767"/>
    <cacheField name="[Calendar table].[Date (Month)].[Date (Month)]" caption="Date (Month)" numFmtId="0" hierarchy="1"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Wait Time Status]" caption="Wait Time Status" attribute="1" defaultMemberUniqueName="[Hospital Emergency Room Data].[Wait Time Status].[All]" allUniqueName="[Hospital Emergency Room Data].[Wait Time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Wait Time Status]" caption="Count of Wait Time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tkarsh Pratap" refreshedDate="46232.688151504626" backgroundQuery="1" createdVersion="8" refreshedVersion="8" minRefreshableVersion="3" recordCount="0" supportSubquery="1" supportAdvancedDrill="1" xr:uid="{27072B0A-EA57-4863-92EF-88990C1D3BA9}">
  <cacheSource type="external" connectionId="3"/>
  <cacheFields count="2">
    <cacheField name="[Measures].[Average of Patient Satisfaction Score]" caption="Average of Patient Satisfaction Score" numFmtId="0" hierarchy="28" level="32767"/>
    <cacheField name="[Calendar table].[Date (Month)].[Date (Month)]" caption="Date (Month)" numFmtId="0" hierarchy="1"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Wait Time Status]" caption="Wait Time Status" attribute="1" defaultMemberUniqueName="[Hospital Emergency Room Data].[Wait Time Status].[All]" allUniqueName="[Hospital Emergency Room Data].[Wait Time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Wait Time Status]" caption="Count of Wait Time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tkarsh Pratap" refreshedDate="46232.688151967595" backgroundQuery="1" createdVersion="8" refreshedVersion="8" minRefreshableVersion="3" recordCount="0" supportSubquery="1" supportAdvancedDrill="1" xr:uid="{A49C339A-980E-449B-BD4A-26628163BE63}">
  <cacheSource type="external" connectionId="3"/>
  <cacheFields count="3">
    <cacheField name="[Calendar table].[Date (Day)].[Date (Day)]" caption="Date (Day)" numFmtId="0" hierarchy="2" level="1">
      <sharedItems count="36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haredItems>
    </cacheField>
    <cacheField name="[Measures].[Average of Patient Waittime]" caption="Average of Patient Waittime" numFmtId="0" hierarchy="26" level="32767"/>
    <cacheField name="[Calendar table].[Date (Month)].[Date (Month)]" caption="Date (Month)" numFmtId="0" hierarchy="1"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2"/>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fieldsUsage count="2">
        <fieldUsage x="-1"/>
        <fieldUsage x="0"/>
      </fieldsUsage>
    </cacheHierarchy>
    <cacheHierarchy uniqueName="[Calendar table].[Date (Year)]" caption="Date (Year)" attribute="1" defaultMemberUniqueName="[Calendar table].[Date (Year)].[All]" allUniqueName="[Calendar table].[Date (Year)].[All]" dimensionUniqueName="[Calendar table]" displayFolder="" count="2" memberValueDatatype="130" unbalanced="0"/>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Wait Time Status]" caption="Wait Time Status" attribute="1" defaultMemberUniqueName="[Hospital Emergency Room Data].[Wait Time Status].[All]" allUniqueName="[Hospital Emergency Room Data].[Wait Time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Wait Time Status]" caption="Count of Wait Time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tkarsh Pratap" refreshedDate="46232.688152430557" backgroundQuery="1" createdVersion="8" refreshedVersion="8" minRefreshableVersion="3" recordCount="0" supportSubquery="1" supportAdvancedDrill="1" xr:uid="{96F25809-2389-4A3B-A7BB-5FE196206497}">
  <cacheSource type="external" connectionId="3"/>
  <cacheFields count="3">
    <cacheField name="[Calendar table].[Date (Day)].[Date (Day)]" caption="Date (Day)" numFmtId="0" hierarchy="2" level="1">
      <sharedItems count="36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8-Dec"/>
        <s v="9-Dec"/>
        <s v="10-Dec"/>
        <s v="11-Dec"/>
        <s v="12-Dec"/>
        <s v="13-Dec"/>
        <s v="14-Dec"/>
        <s v="15-Dec"/>
        <s v="16-Dec"/>
        <s v="17-Dec"/>
        <s v="18-Dec"/>
        <s v="19-Dec"/>
        <s v="20-Dec"/>
        <s v="21-Dec"/>
        <s v="22-Dec"/>
        <s v="23-Dec"/>
        <s v="24-Dec"/>
        <s v="25-Dec"/>
        <s v="26-Dec"/>
        <s v="27-Dec"/>
        <s v="28-Dec"/>
        <s v="29-Dec"/>
        <s v="30-Dec"/>
      </sharedItems>
    </cacheField>
    <cacheField name="[Measures].[Average of Patient Satisfaction Score]" caption="Average of Patient Satisfaction Score" numFmtId="0" hierarchy="28" level="32767"/>
    <cacheField name="[Calendar table].[Date (Month)].[Date (Month)]" caption="Date (Month)" numFmtId="0" hierarchy="1"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2"/>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fieldsUsage count="2">
        <fieldUsage x="-1"/>
        <fieldUsage x="0"/>
      </fieldsUsage>
    </cacheHierarchy>
    <cacheHierarchy uniqueName="[Calendar table].[Date (Year)]" caption="Date (Year)" attribute="1" defaultMemberUniqueName="[Calendar table].[Date (Year)].[All]" allUniqueName="[Calendar table].[Date (Year)].[All]" dimensionUniqueName="[Calendar table]" displayFolder="" count="2" memberValueDatatype="130" unbalanced="0"/>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Wait Time Status]" caption="Wait Time Status" attribute="1" defaultMemberUniqueName="[Hospital Emergency Room Data].[Wait Time Status].[All]" allUniqueName="[Hospital Emergency Room Data].[Wait Time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Wait Time Status]" caption="Count of Wait Time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tkarsh Pratap" refreshedDate="46232.688153009258" backgroundQuery="1" createdVersion="8" refreshedVersion="8" minRefreshableVersion="3" recordCount="0" supportSubquery="1" supportAdvancedDrill="1" xr:uid="{5F26B3B9-C869-415E-9B74-14C82FBE4E9A}">
  <cacheSource type="external" connectionId="3"/>
  <cacheFields count="4">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ar table].[Date (Month)].[Date (Month)]" caption="Date (Month)" numFmtId="0" hierarchy="1"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2"/>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0"/>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Wait Time Status]" caption="Wait Time Status" attribute="1" defaultMemberUniqueName="[Hospital Emergency Room Data].[Wait Time Status].[All]" allUniqueName="[Hospital Emergency Room Data].[Wait Time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Wait Time Status]" caption="Count of Wait Time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tkarsh Pratap" refreshedDate="46232.688153587966" backgroundQuery="1" createdVersion="8" refreshedVersion="8" minRefreshableVersion="3" recordCount="0" supportSubquery="1" supportAdvancedDrill="1" xr:uid="{32806C46-C9EA-4F43-A888-FCBE2ED051B6}">
  <cacheSource type="external" connectionId="3"/>
  <cacheFields count="3">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0" level="32767"/>
    <cacheField name="[Calendar table].[Date (Month)].[Date (Month)]" caption="Date (Month)" numFmtId="0" hierarchy="1"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2"/>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0"/>
      </fieldsUsage>
    </cacheHierarchy>
    <cacheHierarchy uniqueName="[Hospital Emergency Room Data].[Wait Time Status]" caption="Wait Time Status" attribute="1" defaultMemberUniqueName="[Hospital Emergency Room Data].[Wait Time Status].[All]" allUniqueName="[Hospital Emergency Room Data].[Wait Time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Wait Time Status]" caption="Count of Wait Time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tkarsh Pratap" refreshedDate="46232.688154166666" backgroundQuery="1" createdVersion="8" refreshedVersion="8" minRefreshableVersion="3" recordCount="0" supportSubquery="1" supportAdvancedDrill="1" xr:uid="{50AF17CF-43CA-4740-8743-0ED9E11ACB11}">
  <cacheSource type="external" connectionId="3"/>
  <cacheFields count="3">
    <cacheField name="[Measures].[Count of Patient Id]" caption="Count of Patient Id" numFmtId="0" hierarchy="23" level="32767"/>
    <cacheField name="[Hospital Emergency Room Data].[Wait Time Status].[Wait Time Status]" caption="Wait Time Status" numFmtId="0" hierarchy="17" level="1">
      <sharedItems count="2">
        <s v="Delayed"/>
        <s v="On-time"/>
      </sharedItems>
    </cacheField>
    <cacheField name="[Calendar table].[Date (Month)].[Date (Month)]" caption="Date (Month)" numFmtId="0" hierarchy="1"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2"/>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Wait Time Status]" caption="Wait Time Status" attribute="1" defaultMemberUniqueName="[Hospital Emergency Room Data].[Wait Time Status].[All]" allUniqueName="[Hospital Emergency Room Data].[Wait Time Status].[All]" dimensionUniqueName="[Hospital Emergency Room Data]" displayFolder="" count="2" memberValueDatatype="130" unbalanced="0">
      <fieldsUsage count="2">
        <fieldUsage x="-1"/>
        <fieldUsage x="1"/>
      </fieldsUsage>
    </cacheHierarchy>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Wait Time Status]" caption="Count of Wait Time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tkarsh Pratap" refreshedDate="46232.688154745367" backgroundQuery="1" createdVersion="8" refreshedVersion="8" minRefreshableVersion="3" recordCount="0" supportSubquery="1" supportAdvancedDrill="1" xr:uid="{DB2F30A2-3583-4465-B0D2-C951AB317B1F}">
  <cacheSource type="external" connectionId="3"/>
  <cacheFields count="3">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ar table].[Date (Month)].[Date (Month)]" caption="Date (Month)" numFmtId="0" hierarchy="1"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2"/>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0"/>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Wait Time Status]" caption="Wait Time Status" attribute="1" defaultMemberUniqueName="[Hospital Emergency Room Data].[Wait Time Status].[All]" allUniqueName="[Hospital Emergency Room Data].[Wait Time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Wait Time Status]" caption="Count of Wait Time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tkarsh Pratap" refreshedDate="46232.688155208336" backgroundQuery="1" createdVersion="8" refreshedVersion="8" minRefreshableVersion="3" recordCount="0" supportSubquery="1" supportAdvancedDrill="1" xr:uid="{97A9FD3E-D7AB-47B4-8384-7058B88FB52F}">
  <cacheSource type="external" connectionId="3"/>
  <cacheFields count="3">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 table].[Date (Month)].[Date (Month)]" caption="Date (Month)" numFmtId="0" hierarchy="1"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2"/>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0"/>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Wait Time Status]" caption="Wait Time Status" attribute="1" defaultMemberUniqueName="[Hospital Emergency Room Data].[Wait Time Status].[All]" allUniqueName="[Hospital Emergency Room Data].[Wait Time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Wait Time Status]" caption="Count of Wait Time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tkarsh Pratap" refreshedDate="46232.688155902775" backgroundQuery="1" createdVersion="8" refreshedVersion="8" minRefreshableVersion="3" recordCount="0" supportSubquery="1" supportAdvancedDrill="1" xr:uid="{E8ADCEB9-BE80-4520-BE33-20EB7880CC54}">
  <cacheSource type="external" connectionId="3"/>
  <cacheFields count="4">
    <cacheField name="[Calendar table].[Date (Month)].[Date (Month)]" caption="Date (Month)" numFmtId="0" hierarchy="1" level="1">
      <sharedItems count="1">
        <s v="May"/>
      </sharedItems>
    </cacheField>
    <cacheField name="[Calendar table].[Date].[Date]" caption="Date" numFmtId="0" level="1">
      <sharedItems containsSemiMixedTypes="0" containsNonDate="0" containsDate="1" containsString="0" minDate="2023-05-01T00:00:00" maxDate="2024-06-01T00:00:00" count="62">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sharedItems>
    </cacheField>
    <cacheField name="[Calendar table].[Date (Quarter)].[Date (Quarter)]" caption="Date (Quarter)" numFmtId="0" hierarchy="4" level="1">
      <sharedItems count="1">
        <s v="Qtr2"/>
      </sharedItems>
    </cacheField>
    <cacheField name="[Calendar table].[Date (Year)].[Date (Year)]" caption="Date (Year)" numFmtId="0" hierarchy="3" level="1">
      <sharedItems count="2">
        <s v="2023"/>
        <s v="2024"/>
      </sharedItems>
    </cacheField>
  </cacheFields>
  <cacheHierarchies count="34">
    <cacheHierarchy uniqueName="[Calendar table].[Date]" caption="Date" attribute="1" time="1" defaultMemberUniqueName="[Calendar table].[Date].[All]" allUniqueName="[Calendar table].[Date].[All]" dimensionUniqueName="[Calendar table]" displayFolder="" count="2" memberValueDatatype="7" unbalanced="0">
      <fieldsUsage count="2">
        <fieldUsage x="-1"/>
        <fieldUsage x="1"/>
      </fieldsUsage>
    </cacheHierarchy>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Wait Time Status]" caption="Wait Time Status" attribute="1" defaultMemberUniqueName="[Hospital Emergency Room Data].[Wait Time Status].[All]" allUniqueName="[Hospital Emergency Room Data].[Wait Time Status].[All]" dimensionUniqueName="[Hospital Emergency Room Data]" displayFolder="" count="2" memberValueDatatype="130" unbalanced="0"/>
    <cacheHierarchy uniqueName="[Calendar table].[Date (Day Index)]" caption="Date (Day Index)" attribute="1" defaultMemberUniqueName="[Calendar table].[Date (Day Index)].[All]" allUniqueName="[Calendar table].[Date (Day Index)].[All]" dimensionUniqueName="[Calendar table]" displayFolder="" count="2"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Wait Time Status]" caption="Count of Wait Time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tkarsh Pratap" refreshedDate="46230.555312268516" backgroundQuery="1" createdVersion="3" refreshedVersion="8" minRefreshableVersion="3" recordCount="0" supportSubquery="1" supportAdvancedDrill="1" xr:uid="{F9DB816E-8B33-4C1A-854D-84A4B1CA84F4}">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Wait Time Status]" caption="Wait Time Status" attribute="1" defaultMemberUniqueName="[Hospital Emergency Room Data].[Wait Time Status].[All]" allUniqueName="[Hospital Emergency Room Data].[Wait Time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Wait Time Status]" caption="Count of Wait Time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4313104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DF7A1C-D1B9-4730-AC2B-5AC1F21F1AA0}" name="PivotTable12" cacheId="11" applyNumberFormats="0" applyBorderFormats="0" applyFontFormats="0" applyPatternFormats="0" applyAlignmentFormats="0" applyWidthHeightFormats="1" dataCaption="Values" tag="5a337d43-27ce-478e-b64b-952656219643" updatedVersion="8" minRefreshableVersion="3" subtotalHiddenItems="1" itemPrintTitles="1" createdVersion="8" indent="0" outline="1" outlineData="1" multipleFieldFilters="0" chartFormat="50">
  <location ref="A88:A91"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2">
        <item x="0" e="0"/>
        <item x="1" e="0"/>
      </items>
    </pivotField>
  </pivotFields>
  <rowFields count="4">
    <field x="3"/>
    <field x="2"/>
    <field x="0"/>
    <field x="1"/>
  </rowFields>
  <rowItems count="3">
    <i>
      <x/>
    </i>
    <i>
      <x v="1"/>
    </i>
    <i t="grand">
      <x/>
    </i>
  </rowItems>
  <formats count="2">
    <format dxfId="1">
      <pivotArea grandRow="1" outline="0" collapsedLevelsAreSubtotals="1" fieldPosition="0"/>
    </format>
    <format dxfId="0">
      <pivotArea outline="0" collapsedLevelsAreSubtotals="1" fieldPosition="0"/>
    </format>
  </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444EAC-CDEF-4218-8D3B-BF29E4930390}" name="PivotTable11" cacheId="10" applyNumberFormats="0" applyBorderFormats="0" applyFontFormats="0" applyPatternFormats="0" applyAlignmentFormats="0" applyWidthHeightFormats="1" dataCaption="Values" tag="62b56dd9-f51f-4a24-9c0c-758294fa6604" updatedVersion="8" minRefreshableVersion="3" subtotalHiddenItems="1" itemPrintTitles="1" createdVersion="8" indent="0" outline="1" outlineData="1" multipleFieldFilters="0" chartFormat="50">
  <location ref="A75:B84" firstHeaderRow="1" firstDataRow="1" firstDataCol="1"/>
  <pivotFields count="3">
    <pivotField axis="axisRow" allDrilled="1" subtotalTop="0" showAll="0" sortType="ascending" defaultSubtotal="0" defaultAttributeDrillState="1">
      <items count="8">
        <item x="0"/>
        <item x="1"/>
        <item x="2"/>
        <item x="3"/>
        <item n="No Referrals"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v="7"/>
    </i>
    <i>
      <x v="1"/>
    </i>
    <i>
      <x v="3"/>
    </i>
    <i>
      <x/>
    </i>
    <i>
      <x v="6"/>
    </i>
    <i>
      <x v="5"/>
    </i>
    <i>
      <x v="2"/>
    </i>
    <i>
      <x v="4"/>
    </i>
    <i t="grand">
      <x/>
    </i>
  </rowItems>
  <colItems count="1">
    <i/>
  </colItems>
  <dataFields count="1">
    <dataField name="Count of Department Referral" fld="1" subtotal="count" baseField="0" baseItem="0"/>
  </dataFields>
  <formats count="2">
    <format dxfId="3">
      <pivotArea grandRow="1" outline="0" collapsedLevelsAreSubtotals="1" fieldPosition="0"/>
    </format>
    <format dxfId="2">
      <pivotArea outline="0" collapsedLevelsAreSubtotals="1" fieldPosition="0"/>
    </format>
  </formats>
  <chartFormats count="1">
    <chartFormat chart="49"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3BCC73-88A9-448F-9033-FD4483A541CE}" name="PivotTable6" cacheId="5" applyNumberFormats="0" applyBorderFormats="0" applyFontFormats="0" applyPatternFormats="0" applyAlignmentFormats="0" applyWidthHeightFormats="1" dataCaption="Values" tag="148eebef-6bf1-4433-b6cd-44a8ee6d8442" updatedVersion="8" minRefreshableVersion="3" subtotalHiddenItems="1" itemPrintTitles="1" createdVersion="8" indent="0" outline="1" outlineData="1" multipleFieldFilters="0" chartFormat="43">
  <location ref="M5:N369" firstHeaderRow="1" firstDataRow="1" firstDataCol="1"/>
  <pivotFields count="3">
    <pivotField axis="axisRow" allDrilled="1" subtotalTop="0" showAll="0" dataSourceSort="1" defaultSubtotal="0" defaultAttributeDrillState="1">
      <items count="3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s>
    </pivotField>
    <pivotField dataField="1" subtotalTop="0" showAll="0" defaultSubtotal="0"/>
    <pivotField allDrilled="1" subtotalTop="0" showAll="0" dataSourceSort="1" defaultSubtotal="0" defaultAttributeDrillState="1"/>
  </pivotFields>
  <rowFields count="1">
    <field x="0"/>
  </rowFields>
  <rowItems count="36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t="grand">
      <x/>
    </i>
  </rowItems>
  <colItems count="1">
    <i/>
  </colItems>
  <dataFields count="1">
    <dataField name="Average of Patient Satisfaction Score" fld="1" subtotal="average" baseField="0" baseItem="0" numFmtId="1"/>
  </dataFields>
  <formats count="3">
    <format dxfId="6">
      <pivotArea collapsedLevelsAreSubtotals="1" fieldPosition="0">
        <references count="1">
          <reference field="0" count="1">
            <x v="0"/>
          </reference>
        </references>
      </pivotArea>
    </format>
    <format dxfId="5">
      <pivotArea outline="0" collapsedLevelsAreSubtotals="1" fieldPosition="0"/>
    </format>
    <format dxfId="4">
      <pivotArea dataOnly="0" labelOnly="1" outline="0" axis="axisValues" fieldPosition="0"/>
    </format>
  </formats>
  <chartFormats count="2">
    <chartFormat chart="31" format="2" series="1">
      <pivotArea type="data" outline="0" fieldPosition="0">
        <references count="1">
          <reference field="4294967294" count="1" selected="0">
            <x v="0"/>
          </reference>
        </references>
      </pivotArea>
    </chartFormat>
    <chartFormat chart="34"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261794C-BB3A-4738-B46B-A1EA62526793}" name="PivotTable10" cacheId="9" applyNumberFormats="0" applyBorderFormats="0" applyFontFormats="0" applyPatternFormats="0" applyAlignmentFormats="0" applyWidthHeightFormats="1" dataCaption="Values" tag="e23980ab-27d9-4587-b319-f1b7d013e4bf" updatedVersion="8" minRefreshableVersion="3" subtotalHiddenItems="1" itemPrintTitles="1" createdVersion="8" indent="0" outline="1" outlineData="1" multipleFieldFilters="0" chartFormat="46">
  <location ref="A68:B71"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Gender" fld="1" subtotal="count" baseField="0" baseItem="0"/>
  </dataFields>
  <formats count="2">
    <format dxfId="8">
      <pivotArea grandRow="1" outline="0" collapsedLevelsAreSubtotals="1" fieldPosition="0"/>
    </format>
    <format dxfId="7">
      <pivotArea outline="0" collapsedLevelsAreSubtotals="1" fieldPosition="0"/>
    </format>
  </formats>
  <chartFormats count="3">
    <chartFormat chart="43" format="4" series="1">
      <pivotArea type="data" outline="0" fieldPosition="0">
        <references count="1">
          <reference field="4294967294" count="1" selected="0">
            <x v="0"/>
          </reference>
        </references>
      </pivotArea>
    </chartFormat>
    <chartFormat chart="43" format="5">
      <pivotArea type="data" outline="0" fieldPosition="0">
        <references count="2">
          <reference field="4294967294" count="1" selected="0">
            <x v="0"/>
          </reference>
          <reference field="0" count="1" selected="0">
            <x v="0"/>
          </reference>
        </references>
      </pivotArea>
    </chartFormat>
    <chartFormat chart="43" format="6">
      <pivotArea type="data" outline="0" fieldPosition="0">
        <references count="2">
          <reference field="4294967294" count="1" selected="0">
            <x v="0"/>
          </reference>
          <reference field="0" count="1" selected="0">
            <x v="1"/>
          </reference>
        </references>
      </pivotArea>
    </chartFormat>
  </chart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9E229B-B9FD-4323-B333-880440A925FF}" name="PivotTable9" cacheId="8" applyNumberFormats="0" applyBorderFormats="0" applyFontFormats="0" applyPatternFormats="0" applyAlignmentFormats="0" applyWidthHeightFormats="1" dataCaption="Values" tag="d1354830-bf9a-4a67-af54-7753bddee2e2" updatedVersion="8" minRefreshableVersion="3" subtotalHiddenItems="1" itemPrintTitles="1" createdVersion="8" indent="0" outline="1" outlineData="1" multipleFieldFilters="0" chartFormat="40">
  <location ref="A27:B30"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Id" fld="0" subtotal="count" baseField="0" baseItem="0"/>
  </dataFields>
  <formats count="2">
    <format dxfId="10">
      <pivotArea grandRow="1" outline="0" collapsedLevelsAreSubtotals="1" fieldPosition="0"/>
    </format>
    <format dxfId="9">
      <pivotArea outline="0" collapsedLevelsAreSubtotals="1" fieldPosition="0"/>
    </format>
  </formats>
  <chartFormats count="3">
    <chartFormat chart="36" format="4" series="1">
      <pivotArea type="data" outline="0" fieldPosition="0">
        <references count="1">
          <reference field="4294967294" count="1" selected="0">
            <x v="0"/>
          </reference>
        </references>
      </pivotArea>
    </chartFormat>
    <chartFormat chart="36" format="5">
      <pivotArea type="data" outline="0" fieldPosition="0">
        <references count="2">
          <reference field="4294967294" count="1" selected="0">
            <x v="0"/>
          </reference>
          <reference field="1" count="1" selected="0">
            <x v="0"/>
          </reference>
        </references>
      </pivotArea>
    </chartFormat>
    <chartFormat chart="36"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66AD68A-60C4-475E-8424-3BE9F8DA1659}" name="PivotTable3" cacheId="3" applyNumberFormats="0" applyBorderFormats="0" applyFontFormats="0" applyPatternFormats="0" applyAlignmentFormats="0" applyWidthHeightFormats="1" dataCaption="Values" tag="40e14d2c-8ee9-4bd2-bf1f-2b9a60b666f8" updatedVersion="8" minRefreshableVersion="3" subtotalHiddenItems="1" itemPrintTitles="1" createdVersion="8" indent="0" outline="1" outlineData="1" multipleFieldFilters="0">
  <location ref="A10:A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1">
      <pivotArea outline="0" collapsedLevelsAreSubtotals="1" fieldPosition="0"/>
    </format>
  </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450DC33-7641-4480-A2CA-0DDA7F192B6F}" name="PivotTable1" cacheId="1" applyNumberFormats="0" applyBorderFormats="0" applyFontFormats="0" applyPatternFormats="0" applyAlignmentFormats="0" applyWidthHeightFormats="1" dataCaption="Values" tag="2cd0eaee-bab5-4554-90b5-312094a79524" updatedVersion="8" minRefreshableVersion="3"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FE6D936-24BA-4F65-9FEA-4ECC189D763A}" name="PivotTable8" cacheId="7" applyNumberFormats="0" applyBorderFormats="0" applyFontFormats="0" applyPatternFormats="0" applyAlignmentFormats="0" applyWidthHeightFormats="1" dataCaption="Values" tag="dbf0eb67-b0ac-45ee-8065-a644d7c16938" updatedVersion="8" minRefreshableVersion="3" subtotalHiddenItems="1" itemPrintTitles="1" createdVersion="8" indent="0" outline="1" outlineData="1" multipleFieldFilters="0" chartFormat="33">
  <location ref="A54:B63"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Age Group" fld="1" subtotal="count" baseField="0" baseItem="0" numFmtId="1"/>
  </dataFields>
  <formats count="2">
    <format dxfId="13">
      <pivotArea grandRow="1" outline="0" collapsedLevelsAreSubtotals="1" fieldPosition="0"/>
    </format>
    <format dxfId="12">
      <pivotArea outline="0" collapsedLevelsAreSubtotals="1" fieldPosition="0"/>
    </format>
  </formats>
  <chartFormats count="1">
    <chartFormat chart="32"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55E6BBD-50B9-45CD-B1B9-3C613C57BB67}" name="PivotTable7" cacheId="6" applyNumberFormats="0" applyBorderFormats="0" applyFontFormats="0" applyPatternFormats="0" applyAlignmentFormats="0" applyWidthHeightFormats="1" dataCaption="Values" tag="70dff624-f113-4877-8b88-34713e14564f" updatedVersion="8" minRefreshableVersion="3" subtotalHiddenItems="1" itemPrintTitles="1" createdVersion="8" indent="0" outline="1" outlineData="1" multipleFieldFilters="0" chartFormat="67">
  <location ref="A40:C43" firstHeaderRow="0"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3"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5">
    <format dxfId="18">
      <pivotArea outline="0" collapsedLevelsAreSubtotals="1" fieldPosition="0"/>
    </format>
    <format dxfId="17">
      <pivotArea collapsedLevelsAreSubtotals="1" fieldPosition="0">
        <references count="1">
          <reference field="0" count="1">
            <x v="0"/>
          </reference>
        </references>
      </pivotArea>
    </format>
    <format dxfId="16">
      <pivotArea collapsedLevelsAreSubtotals="1" fieldPosition="0">
        <references count="1">
          <reference field="0" count="1">
            <x v="1"/>
          </reference>
        </references>
      </pivotArea>
    </format>
    <format dxfId="15">
      <pivotArea grandRow="1" outline="0" collapsedLevelsAreSubtotals="1" fieldPosition="0"/>
    </format>
    <format dxfId="14">
      <pivotArea outline="0" fieldPosition="0">
        <references count="1">
          <reference field="4294967294" count="1">
            <x v="1"/>
          </reference>
        </references>
      </pivotArea>
    </format>
  </formats>
  <chartFormats count="4">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A555368-C595-4316-9F84-3DF9560B6A55}" name="PivotTable5" cacheId="4" applyNumberFormats="0" applyBorderFormats="0" applyFontFormats="0" applyPatternFormats="0" applyAlignmentFormats="0" applyWidthHeightFormats="1" dataCaption="Values" tag="6be6af91-8906-47ae-b32c-bec644bf8802" updatedVersion="8" minRefreshableVersion="3" subtotalHiddenItems="1" itemPrintTitles="1" createdVersion="8" indent="0" outline="1" outlineData="1" multipleFieldFilters="0" chartFormat="28">
  <location ref="I4:J371" firstHeaderRow="1" firstDataRow="1" firstDataCol="1"/>
  <pivotFields count="3">
    <pivotField axis="axisRow" allDrilled="1" subtotalTop="0" showAll="0" dataSourceSort="1" defaultSubtotal="0" defaultAttributeDrillState="1">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s>
    </pivotField>
    <pivotField dataField="1" subtotalTop="0" showAll="0" defaultSubtotal="0"/>
    <pivotField allDrilled="1" subtotalTop="0" showAll="0" dataSourceSort="1" defaultSubtotal="0" defaultAttributeDrillState="1"/>
  </pivotFields>
  <rowFields count="1">
    <field x="0"/>
  </rowFields>
  <rowItems count="3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t="grand">
      <x/>
    </i>
  </rowItems>
  <colItems count="1">
    <i/>
  </colItems>
  <dataFields count="1">
    <dataField name="Average of Patient Waittime" fld="1" subtotal="average" baseField="0" baseItem="0"/>
  </dataFields>
  <formats count="2">
    <format dxfId="20">
      <pivotArea outline="0" collapsedLevelsAreSubtotals="1" fieldPosition="0"/>
    </format>
    <format dxfId="19">
      <pivotArea collapsedLevelsAreSubtotals="1" fieldPosition="0">
        <references count="1">
          <reference field="0" count="1">
            <x v="0"/>
          </reference>
        </references>
      </pivotArea>
    </format>
  </formats>
  <chartFormats count="2">
    <chartFormat chart="18" format="2"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57844BC-FDF1-4190-84D4-E98845186DA1}" name="PivotTable2" cacheId="2" applyNumberFormats="0" applyBorderFormats="0" applyFontFormats="0" applyPatternFormats="0" applyAlignmentFormats="0" applyWidthHeightFormats="1" dataCaption="Values" tag="f7ad49a3-fe3d-4904-8eb5-e9bc9bcf595a" updatedVersion="8" minRefreshableVersion="3" subtotalHiddenItems="1" itemPrintTitles="1" createdVersion="8"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21">
      <pivotArea outline="0" collapsedLevelsAreSubtotals="1" fieldPosition="0"/>
    </format>
  </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A026F6B-467F-4BE3-B708-21EB5FC5D3B8}" name="PivotTable4" cacheId="0" applyNumberFormats="0" applyBorderFormats="0" applyFontFormats="0" applyPatternFormats="0" applyAlignmentFormats="0" applyWidthHeightFormats="1" dataCaption="Values" tag="994dd865-2c73-49eb-8f24-f34542d75692" updatedVersion="8" minRefreshableVersion="3" subtotalHiddenItems="1" itemPrintTitles="1" createdVersion="8" indent="0" outline="1" outlineData="1" multipleFieldFilters="0" chartFormat="15">
  <location ref="E4:F371" firstHeaderRow="1" firstDataRow="1" firstDataCol="1"/>
  <pivotFields count="3">
    <pivotField axis="axisRow" allDrilled="1" subtotalTop="0" showAll="0" dataSourceSort="1" defaultSubtotal="0" defaultAttributeDrillState="1">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s>
    </pivotField>
    <pivotField dataField="1" subtotalTop="0" showAll="0" defaultSubtotal="0"/>
    <pivotField allDrilled="1" subtotalTop="0" showAll="0" dataSourceSort="1" defaultSubtotal="0" defaultAttributeDrillState="1"/>
  </pivotFields>
  <rowFields count="1">
    <field x="0"/>
  </rowFields>
  <rowItems count="3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t="grand">
      <x/>
    </i>
  </rowItems>
  <colItems count="1">
    <i/>
  </colItems>
  <dataFields count="1">
    <dataField name="Distinct Count of Patient Id" fld="1" subtotal="count" baseField="0" baseItem="0" numFmtId="1">
      <extLst>
        <ext xmlns:x15="http://schemas.microsoft.com/office/spreadsheetml/2010/11/main" uri="{FABC7310-3BB5-11E1-824E-6D434824019B}">
          <x15:dataField isCountDistinct="1"/>
        </ext>
      </extLst>
    </dataField>
  </dataFields>
  <formats count="3">
    <format dxfId="24">
      <pivotArea outline="0" collapsedLevelsAreSubtotals="1" fieldPosition="0"/>
    </format>
    <format dxfId="23">
      <pivotArea collapsedLevelsAreSubtotals="1" fieldPosition="0">
        <references count="1">
          <reference field="0" count="1">
            <x v="0"/>
          </reference>
        </references>
      </pivotArea>
    </format>
    <format dxfId="22">
      <pivotArea outline="0" fieldPosition="0">
        <references count="1">
          <reference field="4294967294" count="1">
            <x v="0"/>
          </reference>
        </references>
      </pivotArea>
    </format>
  </formats>
  <chartFormats count="2">
    <chartFormat chart="11" format="4"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AF18DC96-0906-4CAD-826C-3D18491A3D6C}" sourceName="[Calendar 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43131047">
      <levels count="2">
        <level uniqueName="[Calendar table].[Date (Month)].[(All)]" sourceCaption="(All)" count="0"/>
        <level uniqueName="[Calendar table].[Date (Month)].[Date (Month)]" sourceCaption="Date (Month)" count="12">
          <ranges>
            <range startItem="0">
              <i n="[Calendar table].[Date (Month)].&amp;[Jan]" c="Jan"/>
              <i n="[Calendar table].[Date (Month)].&amp;[Feb]" c="Feb"/>
              <i n="[Calendar table].[Date (Month)].&amp;[Mar]" c="Mar"/>
              <i n="[Calendar table].[Date (Month)].&amp;[Apr]" c="Apr"/>
              <i n="[Calendar table].[Date (Month)].&amp;[May]" c="May"/>
              <i n="[Calendar table].[Date (Month)].&amp;[Jun]" c="Jun"/>
              <i n="[Calendar table].[Date (Month)].&amp;[Jul]" c="Jul"/>
              <i n="[Calendar table].[Date (Month)].&amp;[Aug]" c="Aug"/>
              <i n="[Calendar table].[Date (Month)].&amp;[Sep]" c="Sep"/>
              <i n="[Calendar table].[Date (Month)].&amp;[Oct]" c="Oct"/>
              <i n="[Calendar table].[Date (Month)].&amp;[Nov]" c="Nov"/>
              <i n="[Calendar table].[Date (Month)].&amp;[Dec]" c="Dec"/>
            </range>
          </ranges>
        </level>
      </levels>
      <selections count="1">
        <selection n="[Calendar table].[Date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14FE6BBC-3BF2-4307-AB77-CB4613CD01F8}" sourceName="[Calendar 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43131047">
      <levels count="2">
        <level uniqueName="[Calendar table].[Date (Year)].[(All)]" sourceCaption="(All)" count="0"/>
        <level uniqueName="[Calendar table].[Date (Year)].[Date (Year)]" sourceCaption="Date (Year)" count="2">
          <ranges>
            <range startItem="0">
              <i n="[Calendar table].[Date (Year)].&amp;[2023]" c="2023"/>
              <i n="[Calendar table].[Date (Year)].&amp;[2024]" c="2024"/>
            </range>
          </ranges>
        </level>
      </levels>
      <selections count="1">
        <selection n="[Calendar table].[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2" xr10:uid="{FCC8B9A7-1E9C-4A80-8C12-90C2B645313B}" cache="Slicer_Date__Month" level="1" style="my style" rowHeight="234950"/>
  <slicer name="Date (Year) 1" xr10:uid="{F173D254-2F0F-4F34-9816-A5E20EB6BE08}" cache="Slicer_Date__Year" columnCount="2" level="1" style="my styl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1688A-091A-47C5-9091-C5E365B7D81B}">
  <dimension ref="A2:N371"/>
  <sheetViews>
    <sheetView workbookViewId="0">
      <selection activeCell="B23" sqref="B23"/>
    </sheetView>
  </sheetViews>
  <sheetFormatPr defaultRowHeight="14.4" x14ac:dyDescent="0.3"/>
  <cols>
    <col min="1" max="1" width="16.33203125" customWidth="1"/>
    <col min="2" max="2" width="25.5546875" customWidth="1"/>
    <col min="3" max="3" width="16.33203125" customWidth="1"/>
    <col min="4" max="4" width="24.21875" customWidth="1"/>
    <col min="5" max="5" width="31.88671875" bestFit="1" customWidth="1"/>
    <col min="6" max="6" width="23.88671875" bestFit="1" customWidth="1"/>
    <col min="9" max="9" width="12.5546875" bestFit="1" customWidth="1"/>
    <col min="10" max="10" width="25" bestFit="1" customWidth="1"/>
    <col min="13" max="13" width="21.88671875" bestFit="1" customWidth="1"/>
    <col min="14" max="14" width="29.21875" style="3" bestFit="1" customWidth="1"/>
  </cols>
  <sheetData>
    <row r="2" spans="1:14" x14ac:dyDescent="0.3">
      <c r="A2" t="s">
        <v>14</v>
      </c>
    </row>
    <row r="3" spans="1:14" x14ac:dyDescent="0.3">
      <c r="A3" t="s">
        <v>13</v>
      </c>
      <c r="E3" t="s">
        <v>407</v>
      </c>
      <c r="I3" t="s">
        <v>385</v>
      </c>
    </row>
    <row r="4" spans="1:14" x14ac:dyDescent="0.3">
      <c r="A4">
        <v>9216</v>
      </c>
      <c r="E4" s="1" t="s">
        <v>0</v>
      </c>
      <c r="F4" t="s">
        <v>13</v>
      </c>
      <c r="I4" s="1" t="s">
        <v>0</v>
      </c>
      <c r="J4" t="s">
        <v>15</v>
      </c>
      <c r="M4" t="s">
        <v>386</v>
      </c>
    </row>
    <row r="5" spans="1:14" x14ac:dyDescent="0.3">
      <c r="E5" s="2" t="s">
        <v>19</v>
      </c>
      <c r="F5" s="5">
        <v>19</v>
      </c>
      <c r="I5" s="2" t="s">
        <v>19</v>
      </c>
      <c r="J5" s="3">
        <v>37.789473684210527</v>
      </c>
      <c r="M5" s="1" t="s">
        <v>0</v>
      </c>
      <c r="N5" s="5" t="s">
        <v>16</v>
      </c>
    </row>
    <row r="6" spans="1:14" x14ac:dyDescent="0.3">
      <c r="A6" t="s">
        <v>15</v>
      </c>
      <c r="E6" s="2" t="s">
        <v>20</v>
      </c>
      <c r="F6" s="5">
        <v>14</v>
      </c>
      <c r="I6" s="2" t="s">
        <v>20</v>
      </c>
      <c r="J6" s="3">
        <v>38.214285714285715</v>
      </c>
      <c r="M6" s="2" t="s">
        <v>19</v>
      </c>
      <c r="N6" s="5">
        <v>6.666666666666667</v>
      </c>
    </row>
    <row r="7" spans="1:14" x14ac:dyDescent="0.3">
      <c r="A7" s="3">
        <v>35.259874131944443</v>
      </c>
      <c r="E7" s="2" t="s">
        <v>21</v>
      </c>
      <c r="F7" s="5">
        <v>13</v>
      </c>
      <c r="I7" s="2" t="s">
        <v>21</v>
      </c>
      <c r="J7" s="3">
        <v>40.92307692307692</v>
      </c>
      <c r="M7" s="2" t="s">
        <v>20</v>
      </c>
      <c r="N7" s="5">
        <v>3.5</v>
      </c>
    </row>
    <row r="8" spans="1:14" x14ac:dyDescent="0.3">
      <c r="E8" s="2" t="s">
        <v>22</v>
      </c>
      <c r="F8" s="5">
        <v>22</v>
      </c>
      <c r="I8" s="2" t="s">
        <v>22</v>
      </c>
      <c r="J8" s="3">
        <v>34.5</v>
      </c>
      <c r="M8" s="2" t="s">
        <v>21</v>
      </c>
      <c r="N8" s="5">
        <v>4.5</v>
      </c>
    </row>
    <row r="9" spans="1:14" x14ac:dyDescent="0.3">
      <c r="E9" s="2" t="s">
        <v>23</v>
      </c>
      <c r="F9" s="5">
        <v>19</v>
      </c>
      <c r="I9" s="2" t="s">
        <v>23</v>
      </c>
      <c r="J9" s="3">
        <v>30.684210526315791</v>
      </c>
      <c r="M9" s="2" t="s">
        <v>22</v>
      </c>
      <c r="N9" s="5">
        <v>4.8</v>
      </c>
    </row>
    <row r="10" spans="1:14" x14ac:dyDescent="0.3">
      <c r="A10" t="s">
        <v>16</v>
      </c>
      <c r="E10" s="2" t="s">
        <v>24</v>
      </c>
      <c r="F10" s="5">
        <v>15</v>
      </c>
      <c r="I10" s="2" t="s">
        <v>24</v>
      </c>
      <c r="J10" s="3">
        <v>37.666666666666664</v>
      </c>
      <c r="M10" s="2" t="s">
        <v>23</v>
      </c>
      <c r="N10" s="5">
        <v>7.75</v>
      </c>
    </row>
    <row r="11" spans="1:14" x14ac:dyDescent="0.3">
      <c r="A11" s="3">
        <v>4.9920540325784666</v>
      </c>
      <c r="E11" s="2" t="s">
        <v>25</v>
      </c>
      <c r="F11" s="5">
        <v>12</v>
      </c>
      <c r="I11" s="2" t="s">
        <v>25</v>
      </c>
      <c r="J11" s="3">
        <v>36.083333333333336</v>
      </c>
      <c r="M11" s="2" t="s">
        <v>24</v>
      </c>
      <c r="N11" s="5">
        <v>6.2</v>
      </c>
    </row>
    <row r="12" spans="1:14" x14ac:dyDescent="0.3">
      <c r="E12" s="2" t="s">
        <v>26</v>
      </c>
      <c r="F12" s="5">
        <v>21</v>
      </c>
      <c r="I12" s="2" t="s">
        <v>26</v>
      </c>
      <c r="J12" s="3">
        <v>43.523809523809526</v>
      </c>
      <c r="M12" s="2" t="s">
        <v>25</v>
      </c>
      <c r="N12" s="5">
        <v>3.75</v>
      </c>
    </row>
    <row r="13" spans="1:14" x14ac:dyDescent="0.3">
      <c r="E13" s="2" t="s">
        <v>27</v>
      </c>
      <c r="F13" s="5">
        <v>12</v>
      </c>
      <c r="I13" s="2" t="s">
        <v>27</v>
      </c>
      <c r="J13" s="3">
        <v>29.5</v>
      </c>
      <c r="M13" s="2" t="s">
        <v>26</v>
      </c>
      <c r="N13" s="5">
        <v>6.5</v>
      </c>
    </row>
    <row r="14" spans="1:14" x14ac:dyDescent="0.3">
      <c r="E14" s="2" t="s">
        <v>28</v>
      </c>
      <c r="F14" s="5">
        <v>13</v>
      </c>
      <c r="I14" s="2" t="s">
        <v>28</v>
      </c>
      <c r="J14" s="3">
        <v>38.07692307692308</v>
      </c>
      <c r="M14" s="2" t="s">
        <v>27</v>
      </c>
      <c r="N14" s="5">
        <v>3</v>
      </c>
    </row>
    <row r="15" spans="1:14" x14ac:dyDescent="0.3">
      <c r="E15" s="2" t="s">
        <v>29</v>
      </c>
      <c r="F15" s="5">
        <v>13</v>
      </c>
      <c r="I15" s="2" t="s">
        <v>29</v>
      </c>
      <c r="J15" s="3">
        <v>35.846153846153847</v>
      </c>
      <c r="M15" s="2" t="s">
        <v>28</v>
      </c>
      <c r="N15" s="5">
        <v>4.5</v>
      </c>
    </row>
    <row r="16" spans="1:14" x14ac:dyDescent="0.3">
      <c r="E16" s="2" t="s">
        <v>30</v>
      </c>
      <c r="F16" s="5">
        <v>16</v>
      </c>
      <c r="I16" s="2" t="s">
        <v>30</v>
      </c>
      <c r="J16" s="3">
        <v>32.625</v>
      </c>
      <c r="M16" s="2" t="s">
        <v>29</v>
      </c>
      <c r="N16" s="5">
        <v>6</v>
      </c>
    </row>
    <row r="17" spans="1:14" x14ac:dyDescent="0.3">
      <c r="E17" s="2" t="s">
        <v>31</v>
      </c>
      <c r="F17" s="5">
        <v>20</v>
      </c>
      <c r="I17" s="2" t="s">
        <v>31</v>
      </c>
      <c r="J17" s="3">
        <v>39.200000000000003</v>
      </c>
      <c r="M17" s="2" t="s">
        <v>30</v>
      </c>
      <c r="N17" s="5">
        <v>5.2</v>
      </c>
    </row>
    <row r="18" spans="1:14" x14ac:dyDescent="0.3">
      <c r="E18" s="2" t="s">
        <v>32</v>
      </c>
      <c r="F18" s="5">
        <v>25</v>
      </c>
      <c r="I18" s="2" t="s">
        <v>32</v>
      </c>
      <c r="J18" s="3">
        <v>35.28</v>
      </c>
      <c r="M18" s="2" t="s">
        <v>31</v>
      </c>
      <c r="N18" s="5">
        <v>4.4000000000000004</v>
      </c>
    </row>
    <row r="19" spans="1:14" x14ac:dyDescent="0.3">
      <c r="E19" s="2" t="s">
        <v>33</v>
      </c>
      <c r="F19" s="5">
        <v>20</v>
      </c>
      <c r="I19" s="2" t="s">
        <v>33</v>
      </c>
      <c r="J19" s="3">
        <v>32.549999999999997</v>
      </c>
      <c r="M19" s="2" t="s">
        <v>32</v>
      </c>
      <c r="N19" s="5">
        <v>3.4545454545454546</v>
      </c>
    </row>
    <row r="20" spans="1:14" x14ac:dyDescent="0.3">
      <c r="E20" s="2" t="s">
        <v>34</v>
      </c>
      <c r="F20" s="5">
        <v>14</v>
      </c>
      <c r="I20" s="2" t="s">
        <v>34</v>
      </c>
      <c r="J20" s="3">
        <v>35.642857142857146</v>
      </c>
      <c r="M20" s="2" t="s">
        <v>33</v>
      </c>
      <c r="N20" s="5">
        <v>4.4000000000000004</v>
      </c>
    </row>
    <row r="21" spans="1:14" x14ac:dyDescent="0.3">
      <c r="E21" s="2" t="s">
        <v>35</v>
      </c>
      <c r="F21" s="5">
        <v>17</v>
      </c>
      <c r="I21" s="2" t="s">
        <v>35</v>
      </c>
      <c r="J21" s="3">
        <v>38.764705882352942</v>
      </c>
      <c r="M21" s="2" t="s">
        <v>34</v>
      </c>
      <c r="N21" s="5">
        <v>5.833333333333333</v>
      </c>
    </row>
    <row r="22" spans="1:14" x14ac:dyDescent="0.3">
      <c r="E22" s="2" t="s">
        <v>36</v>
      </c>
      <c r="F22" s="5">
        <v>20</v>
      </c>
      <c r="I22" s="2" t="s">
        <v>36</v>
      </c>
      <c r="J22" s="3">
        <v>39.9</v>
      </c>
      <c r="M22" s="2" t="s">
        <v>35</v>
      </c>
      <c r="N22" s="5">
        <v>4.4444444444444446</v>
      </c>
    </row>
    <row r="23" spans="1:14" x14ac:dyDescent="0.3">
      <c r="E23" s="2" t="s">
        <v>37</v>
      </c>
      <c r="F23" s="5">
        <v>10</v>
      </c>
      <c r="I23" s="2" t="s">
        <v>37</v>
      </c>
      <c r="J23" s="3">
        <v>41.6</v>
      </c>
      <c r="M23" s="2" t="s">
        <v>36</v>
      </c>
      <c r="N23" s="5">
        <v>5.333333333333333</v>
      </c>
    </row>
    <row r="24" spans="1:14" x14ac:dyDescent="0.3">
      <c r="E24" s="2" t="s">
        <v>38</v>
      </c>
      <c r="F24" s="5">
        <v>17</v>
      </c>
      <c r="I24" s="2" t="s">
        <v>38</v>
      </c>
      <c r="J24" s="3">
        <v>39.470588235294116</v>
      </c>
      <c r="M24" s="2" t="s">
        <v>37</v>
      </c>
      <c r="N24" s="5">
        <v>5.333333333333333</v>
      </c>
    </row>
    <row r="25" spans="1:14" x14ac:dyDescent="0.3">
      <c r="E25" s="2" t="s">
        <v>39</v>
      </c>
      <c r="F25" s="5">
        <v>15</v>
      </c>
      <c r="I25" s="2" t="s">
        <v>39</v>
      </c>
      <c r="J25" s="3">
        <v>27.733333333333334</v>
      </c>
      <c r="M25" s="2" t="s">
        <v>38</v>
      </c>
      <c r="N25" s="5">
        <v>5.5714285714285712</v>
      </c>
    </row>
    <row r="26" spans="1:14" x14ac:dyDescent="0.3">
      <c r="A26" t="s">
        <v>408</v>
      </c>
      <c r="E26" s="2" t="s">
        <v>40</v>
      </c>
      <c r="F26" s="5">
        <v>16</v>
      </c>
      <c r="I26" s="2" t="s">
        <v>40</v>
      </c>
      <c r="J26" s="3">
        <v>36.875</v>
      </c>
      <c r="M26" s="2" t="s">
        <v>39</v>
      </c>
      <c r="N26" s="5">
        <v>5</v>
      </c>
    </row>
    <row r="27" spans="1:14" x14ac:dyDescent="0.3">
      <c r="A27" s="1" t="s">
        <v>0</v>
      </c>
      <c r="B27" t="s">
        <v>12</v>
      </c>
      <c r="E27" s="2" t="s">
        <v>41</v>
      </c>
      <c r="F27" s="5">
        <v>18</v>
      </c>
      <c r="I27" s="2" t="s">
        <v>41</v>
      </c>
      <c r="J27" s="3">
        <v>40.333333333333336</v>
      </c>
      <c r="M27" s="2" t="s">
        <v>40</v>
      </c>
      <c r="N27" s="5">
        <v>6.4</v>
      </c>
    </row>
    <row r="28" spans="1:14" x14ac:dyDescent="0.3">
      <c r="A28" s="2" t="s">
        <v>10</v>
      </c>
      <c r="B28" s="5">
        <v>5467</v>
      </c>
      <c r="E28" s="2" t="s">
        <v>42</v>
      </c>
      <c r="F28" s="5">
        <v>16</v>
      </c>
      <c r="I28" s="2" t="s">
        <v>42</v>
      </c>
      <c r="J28" s="3">
        <v>36.5</v>
      </c>
      <c r="M28" s="2" t="s">
        <v>41</v>
      </c>
      <c r="N28" s="5">
        <v>5.333333333333333</v>
      </c>
    </row>
    <row r="29" spans="1:14" x14ac:dyDescent="0.3">
      <c r="A29" s="2" t="s">
        <v>11</v>
      </c>
      <c r="B29" s="5">
        <v>3749</v>
      </c>
      <c r="E29" s="2" t="s">
        <v>43</v>
      </c>
      <c r="F29" s="5">
        <v>15</v>
      </c>
      <c r="I29" s="2" t="s">
        <v>43</v>
      </c>
      <c r="J29" s="3">
        <v>32.866666666666667</v>
      </c>
      <c r="M29" s="2" t="s">
        <v>42</v>
      </c>
      <c r="N29" s="5">
        <v>3.75</v>
      </c>
    </row>
    <row r="30" spans="1:14" x14ac:dyDescent="0.3">
      <c r="A30" s="2" t="s">
        <v>9</v>
      </c>
      <c r="B30" s="5">
        <v>9216</v>
      </c>
      <c r="E30" s="2" t="s">
        <v>44</v>
      </c>
      <c r="F30" s="5">
        <v>14</v>
      </c>
      <c r="I30" s="2" t="s">
        <v>44</v>
      </c>
      <c r="J30" s="3">
        <v>36.642857142857146</v>
      </c>
      <c r="M30" s="2" t="s">
        <v>43</v>
      </c>
      <c r="N30" s="5">
        <v>6.333333333333333</v>
      </c>
    </row>
    <row r="31" spans="1:14" x14ac:dyDescent="0.3">
      <c r="E31" s="2" t="s">
        <v>45</v>
      </c>
      <c r="F31" s="5">
        <v>16</v>
      </c>
      <c r="I31" s="2" t="s">
        <v>45</v>
      </c>
      <c r="J31" s="3">
        <v>36.5625</v>
      </c>
      <c r="M31" s="2" t="s">
        <v>44</v>
      </c>
      <c r="N31" s="5">
        <v>10</v>
      </c>
    </row>
    <row r="32" spans="1:14" x14ac:dyDescent="0.3">
      <c r="E32" s="2" t="s">
        <v>46</v>
      </c>
      <c r="F32" s="5">
        <v>20</v>
      </c>
      <c r="I32" s="2" t="s">
        <v>46</v>
      </c>
      <c r="J32" s="3">
        <v>32.15</v>
      </c>
      <c r="M32" s="2" t="s">
        <v>45</v>
      </c>
      <c r="N32" s="5">
        <v>5</v>
      </c>
    </row>
    <row r="33" spans="1:14" x14ac:dyDescent="0.3">
      <c r="E33" s="2" t="s">
        <v>47</v>
      </c>
      <c r="F33" s="5">
        <v>19</v>
      </c>
      <c r="I33" s="2" t="s">
        <v>47</v>
      </c>
      <c r="J33" s="3">
        <v>38.368421052631582</v>
      </c>
      <c r="M33" s="2" t="s">
        <v>46</v>
      </c>
      <c r="N33" s="5">
        <v>5.333333333333333</v>
      </c>
    </row>
    <row r="34" spans="1:14" x14ac:dyDescent="0.3">
      <c r="E34" s="2" t="s">
        <v>48</v>
      </c>
      <c r="F34" s="5">
        <v>14</v>
      </c>
      <c r="I34" s="2" t="s">
        <v>48</v>
      </c>
      <c r="J34" s="3">
        <v>33.071428571428569</v>
      </c>
      <c r="M34" s="2" t="s">
        <v>47</v>
      </c>
      <c r="N34" s="5">
        <v>4.8</v>
      </c>
    </row>
    <row r="35" spans="1:14" x14ac:dyDescent="0.3">
      <c r="E35" s="2" t="s">
        <v>49</v>
      </c>
      <c r="F35" s="5">
        <v>18</v>
      </c>
      <c r="I35" s="2" t="s">
        <v>49</v>
      </c>
      <c r="J35" s="3">
        <v>36.444444444444443</v>
      </c>
      <c r="M35" s="2" t="s">
        <v>48</v>
      </c>
      <c r="N35" s="5">
        <v>5</v>
      </c>
    </row>
    <row r="36" spans="1:14" x14ac:dyDescent="0.3">
      <c r="E36" s="2" t="s">
        <v>50</v>
      </c>
      <c r="F36" s="5">
        <v>13</v>
      </c>
      <c r="I36" s="2" t="s">
        <v>50</v>
      </c>
      <c r="J36" s="3">
        <v>35.692307692307693</v>
      </c>
      <c r="M36" s="2" t="s">
        <v>49</v>
      </c>
      <c r="N36" s="5">
        <v>1.4</v>
      </c>
    </row>
    <row r="37" spans="1:14" x14ac:dyDescent="0.3">
      <c r="E37" s="2" t="s">
        <v>51</v>
      </c>
      <c r="F37" s="5">
        <v>10</v>
      </c>
      <c r="I37" s="2" t="s">
        <v>51</v>
      </c>
      <c r="J37" s="3">
        <v>45.4</v>
      </c>
      <c r="M37" s="2" t="s">
        <v>50</v>
      </c>
      <c r="N37" s="5">
        <v>4.166666666666667</v>
      </c>
    </row>
    <row r="38" spans="1:14" x14ac:dyDescent="0.3">
      <c r="E38" s="2" t="s">
        <v>52</v>
      </c>
      <c r="F38" s="5">
        <v>8</v>
      </c>
      <c r="I38" s="2" t="s">
        <v>52</v>
      </c>
      <c r="J38" s="3">
        <v>29.375</v>
      </c>
      <c r="M38" s="2" t="s">
        <v>51</v>
      </c>
      <c r="N38" s="5">
        <v>5.75</v>
      </c>
    </row>
    <row r="39" spans="1:14" x14ac:dyDescent="0.3">
      <c r="A39" t="s">
        <v>409</v>
      </c>
      <c r="E39" s="2" t="s">
        <v>53</v>
      </c>
      <c r="F39" s="5">
        <v>12</v>
      </c>
      <c r="I39" s="2" t="s">
        <v>53</v>
      </c>
      <c r="J39" s="3">
        <v>34.583333333333336</v>
      </c>
      <c r="M39" s="2" t="s">
        <v>52</v>
      </c>
      <c r="N39" s="5">
        <v>4.75</v>
      </c>
    </row>
    <row r="40" spans="1:14" x14ac:dyDescent="0.3">
      <c r="A40" s="1" t="s">
        <v>0</v>
      </c>
      <c r="B40" t="s">
        <v>387</v>
      </c>
      <c r="C40" t="s">
        <v>390</v>
      </c>
      <c r="E40" s="2" t="s">
        <v>54</v>
      </c>
      <c r="F40" s="5">
        <v>19</v>
      </c>
      <c r="I40" s="2" t="s">
        <v>54</v>
      </c>
      <c r="J40" s="3">
        <v>38.684210526315788</v>
      </c>
      <c r="M40" s="2" t="s">
        <v>53</v>
      </c>
      <c r="N40" s="5">
        <v>7</v>
      </c>
    </row>
    <row r="41" spans="1:14" x14ac:dyDescent="0.3">
      <c r="A41" s="2" t="s">
        <v>388</v>
      </c>
      <c r="B41" s="5">
        <v>4612</v>
      </c>
      <c r="C41" s="6">
        <v>0.50043402777777779</v>
      </c>
      <c r="E41" s="2" t="s">
        <v>55</v>
      </c>
      <c r="F41" s="5">
        <v>9</v>
      </c>
      <c r="I41" s="2" t="s">
        <v>55</v>
      </c>
      <c r="J41" s="3">
        <v>34.777777777777779</v>
      </c>
      <c r="M41" s="2" t="s">
        <v>54</v>
      </c>
      <c r="N41" s="5">
        <v>3.1428571428571428</v>
      </c>
    </row>
    <row r="42" spans="1:14" x14ac:dyDescent="0.3">
      <c r="A42" s="2" t="s">
        <v>389</v>
      </c>
      <c r="B42" s="5">
        <v>4604</v>
      </c>
      <c r="C42" s="6">
        <v>0.49956597222222221</v>
      </c>
      <c r="E42" s="2" t="s">
        <v>56</v>
      </c>
      <c r="F42" s="5">
        <v>13</v>
      </c>
      <c r="I42" s="2" t="s">
        <v>56</v>
      </c>
      <c r="J42" s="3">
        <v>37.307692307692307</v>
      </c>
      <c r="M42" s="2" t="s">
        <v>55</v>
      </c>
      <c r="N42" s="5">
        <v>8</v>
      </c>
    </row>
    <row r="43" spans="1:14" x14ac:dyDescent="0.3">
      <c r="A43" s="2" t="s">
        <v>9</v>
      </c>
      <c r="B43" s="5">
        <v>9216</v>
      </c>
      <c r="C43" s="6">
        <v>1</v>
      </c>
      <c r="E43" s="2" t="s">
        <v>57</v>
      </c>
      <c r="F43" s="5">
        <v>19</v>
      </c>
      <c r="I43" s="2" t="s">
        <v>57</v>
      </c>
      <c r="J43" s="3">
        <v>35.631578947368418</v>
      </c>
      <c r="M43" s="2" t="s">
        <v>56</v>
      </c>
      <c r="N43" s="5">
        <v>5.25</v>
      </c>
    </row>
    <row r="44" spans="1:14" x14ac:dyDescent="0.3">
      <c r="E44" s="2" t="s">
        <v>58</v>
      </c>
      <c r="F44" s="5">
        <v>10</v>
      </c>
      <c r="I44" s="2" t="s">
        <v>58</v>
      </c>
      <c r="J44" s="3">
        <v>36.6</v>
      </c>
      <c r="M44" s="2" t="s">
        <v>57</v>
      </c>
      <c r="N44" s="5">
        <v>4.5714285714285712</v>
      </c>
    </row>
    <row r="45" spans="1:14" x14ac:dyDescent="0.3">
      <c r="E45" s="2" t="s">
        <v>59</v>
      </c>
      <c r="F45" s="5">
        <v>20</v>
      </c>
      <c r="I45" s="2" t="s">
        <v>59</v>
      </c>
      <c r="J45" s="3">
        <v>39.700000000000003</v>
      </c>
      <c r="M45" s="2" t="s">
        <v>58</v>
      </c>
      <c r="N45" s="5">
        <v>2.75</v>
      </c>
    </row>
    <row r="46" spans="1:14" x14ac:dyDescent="0.3">
      <c r="A46" s="8"/>
      <c r="B46" s="8"/>
      <c r="C46" s="8"/>
      <c r="E46" s="2" t="s">
        <v>60</v>
      </c>
      <c r="F46" s="5">
        <v>15</v>
      </c>
      <c r="I46" s="2" t="s">
        <v>60</v>
      </c>
      <c r="J46" s="3">
        <v>37.4</v>
      </c>
      <c r="M46" s="2" t="s">
        <v>59</v>
      </c>
      <c r="N46" s="5">
        <v>4.5</v>
      </c>
    </row>
    <row r="47" spans="1:14" x14ac:dyDescent="0.3">
      <c r="A47" s="9" t="s">
        <v>391</v>
      </c>
      <c r="B47" s="9" t="s">
        <v>392</v>
      </c>
      <c r="C47" s="9" t="s">
        <v>393</v>
      </c>
      <c r="D47" s="7"/>
      <c r="E47" s="2" t="s">
        <v>61</v>
      </c>
      <c r="F47" s="5">
        <v>13</v>
      </c>
      <c r="I47" s="2" t="s">
        <v>61</v>
      </c>
      <c r="J47" s="3">
        <v>27.76923076923077</v>
      </c>
      <c r="M47" s="2" t="s">
        <v>60</v>
      </c>
      <c r="N47" s="5">
        <v>5.5</v>
      </c>
    </row>
    <row r="48" spans="1:14" x14ac:dyDescent="0.3">
      <c r="A48" s="11" t="str">
        <f>A42</f>
        <v>Not admitted</v>
      </c>
      <c r="B48" s="12">
        <f>B42</f>
        <v>4604</v>
      </c>
      <c r="C48" s="13">
        <f>C42</f>
        <v>0.49956597222222221</v>
      </c>
      <c r="D48" s="10"/>
      <c r="E48" s="2" t="s">
        <v>62</v>
      </c>
      <c r="F48" s="5">
        <v>9</v>
      </c>
      <c r="I48" s="2" t="s">
        <v>62</v>
      </c>
      <c r="J48" s="3">
        <v>38.777777777777779</v>
      </c>
      <c r="M48" s="2" t="s">
        <v>61</v>
      </c>
      <c r="N48" s="5">
        <v>5.6</v>
      </c>
    </row>
    <row r="49" spans="1:14" x14ac:dyDescent="0.3">
      <c r="A49" s="11" t="str">
        <f>A41</f>
        <v>Admitted</v>
      </c>
      <c r="B49" s="12">
        <f>B41</f>
        <v>4612</v>
      </c>
      <c r="C49" s="13">
        <f>C41</f>
        <v>0.50043402777777779</v>
      </c>
      <c r="D49" s="10"/>
      <c r="E49" s="2" t="s">
        <v>63</v>
      </c>
      <c r="F49" s="5">
        <v>19</v>
      </c>
      <c r="I49" s="2" t="s">
        <v>63</v>
      </c>
      <c r="J49" s="3">
        <v>31</v>
      </c>
      <c r="M49" s="2" t="s">
        <v>62</v>
      </c>
      <c r="N49" s="5">
        <v>5.75</v>
      </c>
    </row>
    <row r="50" spans="1:14" x14ac:dyDescent="0.3">
      <c r="E50" s="2" t="s">
        <v>64</v>
      </c>
      <c r="F50" s="5">
        <v>14</v>
      </c>
      <c r="I50" s="2" t="s">
        <v>64</v>
      </c>
      <c r="J50" s="3">
        <v>35.928571428571431</v>
      </c>
      <c r="M50" s="2" t="s">
        <v>63</v>
      </c>
      <c r="N50" s="5">
        <v>3.4444444444444446</v>
      </c>
    </row>
    <row r="51" spans="1:14" x14ac:dyDescent="0.3">
      <c r="E51" s="2" t="s">
        <v>65</v>
      </c>
      <c r="F51" s="5">
        <v>17</v>
      </c>
      <c r="I51" s="2" t="s">
        <v>65</v>
      </c>
      <c r="J51" s="3">
        <v>37.882352941176471</v>
      </c>
      <c r="M51" s="2" t="s">
        <v>64</v>
      </c>
      <c r="N51" s="5">
        <v>1.5</v>
      </c>
    </row>
    <row r="52" spans="1:14" x14ac:dyDescent="0.3">
      <c r="E52" s="2" t="s">
        <v>66</v>
      </c>
      <c r="F52" s="5">
        <v>17</v>
      </c>
      <c r="I52" s="2" t="s">
        <v>66</v>
      </c>
      <c r="J52" s="3">
        <v>40.588235294117645</v>
      </c>
      <c r="M52" s="2" t="s">
        <v>65</v>
      </c>
      <c r="N52" s="5">
        <v>3.6666666666666665</v>
      </c>
    </row>
    <row r="53" spans="1:14" x14ac:dyDescent="0.3">
      <c r="A53" s="14" t="s">
        <v>410</v>
      </c>
      <c r="B53" s="14"/>
      <c r="E53" s="2" t="s">
        <v>67</v>
      </c>
      <c r="F53" s="5">
        <v>15</v>
      </c>
      <c r="I53" s="2" t="s">
        <v>67</v>
      </c>
      <c r="J53" s="3">
        <v>34.533333333333331</v>
      </c>
      <c r="M53" s="2" t="s">
        <v>66</v>
      </c>
      <c r="N53" s="5">
        <v>4.4285714285714288</v>
      </c>
    </row>
    <row r="54" spans="1:14" x14ac:dyDescent="0.3">
      <c r="A54" s="1" t="s">
        <v>0</v>
      </c>
      <c r="B54" t="s">
        <v>394</v>
      </c>
      <c r="E54" s="2" t="s">
        <v>68</v>
      </c>
      <c r="F54" s="5">
        <v>9</v>
      </c>
      <c r="I54" s="2" t="s">
        <v>68</v>
      </c>
      <c r="J54" s="3">
        <v>40.333333333333336</v>
      </c>
      <c r="M54" s="2" t="s">
        <v>67</v>
      </c>
      <c r="N54" s="5">
        <v>6</v>
      </c>
    </row>
    <row r="55" spans="1:14" x14ac:dyDescent="0.3">
      <c r="A55" s="2" t="s">
        <v>1</v>
      </c>
      <c r="B55" s="5">
        <v>1056</v>
      </c>
      <c r="E55" s="2" t="s">
        <v>69</v>
      </c>
      <c r="F55" s="5">
        <v>14</v>
      </c>
      <c r="I55" s="2" t="s">
        <v>69</v>
      </c>
      <c r="J55" s="3">
        <v>35.285714285714285</v>
      </c>
      <c r="M55" s="2" t="s">
        <v>68</v>
      </c>
      <c r="N55" s="5">
        <v>2.6666666666666665</v>
      </c>
    </row>
    <row r="56" spans="1:14" x14ac:dyDescent="0.3">
      <c r="A56" s="2" t="s">
        <v>2</v>
      </c>
      <c r="B56" s="5">
        <v>1179</v>
      </c>
      <c r="E56" s="2" t="s">
        <v>70</v>
      </c>
      <c r="F56" s="5">
        <v>22</v>
      </c>
      <c r="I56" s="2" t="s">
        <v>70</v>
      </c>
      <c r="J56" s="3">
        <v>35.5</v>
      </c>
      <c r="M56" s="2" t="s">
        <v>69</v>
      </c>
      <c r="N56" s="5">
        <v>7.5</v>
      </c>
    </row>
    <row r="57" spans="1:14" x14ac:dyDescent="0.3">
      <c r="A57" s="2" t="s">
        <v>3</v>
      </c>
      <c r="B57" s="5">
        <v>1188</v>
      </c>
      <c r="E57" s="2" t="s">
        <v>71</v>
      </c>
      <c r="F57" s="5">
        <v>16</v>
      </c>
      <c r="I57" s="2" t="s">
        <v>71</v>
      </c>
      <c r="J57" s="3">
        <v>38.5625</v>
      </c>
      <c r="M57" s="2" t="s">
        <v>70</v>
      </c>
      <c r="N57" s="5">
        <v>4.5</v>
      </c>
    </row>
    <row r="58" spans="1:14" x14ac:dyDescent="0.3">
      <c r="A58" s="2" t="s">
        <v>4</v>
      </c>
      <c r="B58" s="5">
        <v>1200</v>
      </c>
      <c r="E58" s="2" t="s">
        <v>72</v>
      </c>
      <c r="F58" s="5">
        <v>22</v>
      </c>
      <c r="I58" s="2" t="s">
        <v>72</v>
      </c>
      <c r="J58" s="3">
        <v>42.727272727272727</v>
      </c>
      <c r="M58" s="2" t="s">
        <v>71</v>
      </c>
      <c r="N58" s="5">
        <v>8</v>
      </c>
    </row>
    <row r="59" spans="1:14" x14ac:dyDescent="0.3">
      <c r="A59" s="2" t="s">
        <v>5</v>
      </c>
      <c r="B59" s="5">
        <v>1135</v>
      </c>
      <c r="E59" s="2" t="s">
        <v>73</v>
      </c>
      <c r="F59" s="5">
        <v>12</v>
      </c>
      <c r="I59" s="2" t="s">
        <v>73</v>
      </c>
      <c r="J59" s="3">
        <v>37.416666666666664</v>
      </c>
      <c r="M59" s="2" t="s">
        <v>72</v>
      </c>
      <c r="N59" s="5">
        <v>4.3636363636363633</v>
      </c>
    </row>
    <row r="60" spans="1:14" x14ac:dyDescent="0.3">
      <c r="A60" s="2" t="s">
        <v>6</v>
      </c>
      <c r="B60" s="5">
        <v>1151</v>
      </c>
      <c r="E60" s="2" t="s">
        <v>74</v>
      </c>
      <c r="F60" s="5">
        <v>20</v>
      </c>
      <c r="I60" s="2" t="s">
        <v>74</v>
      </c>
      <c r="J60" s="3">
        <v>32.450000000000003</v>
      </c>
      <c r="M60" s="2" t="s">
        <v>73</v>
      </c>
      <c r="N60" s="5">
        <v>0</v>
      </c>
    </row>
    <row r="61" spans="1:14" x14ac:dyDescent="0.3">
      <c r="A61" s="2" t="s">
        <v>7</v>
      </c>
      <c r="B61" s="5">
        <v>1154</v>
      </c>
      <c r="E61" s="2" t="s">
        <v>75</v>
      </c>
      <c r="F61" s="5">
        <v>18</v>
      </c>
      <c r="I61" s="2" t="s">
        <v>75</v>
      </c>
      <c r="J61" s="3">
        <v>40.055555555555557</v>
      </c>
      <c r="M61" s="2" t="s">
        <v>74</v>
      </c>
      <c r="N61" s="5">
        <v>10</v>
      </c>
    </row>
    <row r="62" spans="1:14" x14ac:dyDescent="0.3">
      <c r="A62" s="2" t="s">
        <v>8</v>
      </c>
      <c r="B62" s="5">
        <v>1153</v>
      </c>
      <c r="E62" s="2" t="s">
        <v>76</v>
      </c>
      <c r="F62" s="5">
        <v>18</v>
      </c>
      <c r="I62" s="2" t="s">
        <v>76</v>
      </c>
      <c r="J62" s="3">
        <v>31.666666666666668</v>
      </c>
      <c r="M62" s="2" t="s">
        <v>76</v>
      </c>
      <c r="N62" s="5">
        <v>6.75</v>
      </c>
    </row>
    <row r="63" spans="1:14" x14ac:dyDescent="0.3">
      <c r="A63" s="2" t="s">
        <v>9</v>
      </c>
      <c r="B63" s="5">
        <v>9216</v>
      </c>
      <c r="E63" s="2" t="s">
        <v>77</v>
      </c>
      <c r="F63" s="5">
        <v>13</v>
      </c>
      <c r="I63" s="2" t="s">
        <v>77</v>
      </c>
      <c r="J63" s="3">
        <v>39.769230769230766</v>
      </c>
      <c r="M63" s="2" t="s">
        <v>77</v>
      </c>
      <c r="N63" s="5">
        <v>7</v>
      </c>
    </row>
    <row r="64" spans="1:14" x14ac:dyDescent="0.3">
      <c r="E64" s="2" t="s">
        <v>78</v>
      </c>
      <c r="F64" s="5">
        <v>15</v>
      </c>
      <c r="I64" s="2" t="s">
        <v>78</v>
      </c>
      <c r="J64" s="3">
        <v>36.733333333333334</v>
      </c>
      <c r="M64" s="2" t="s">
        <v>78</v>
      </c>
      <c r="N64" s="5">
        <v>3.3333333333333335</v>
      </c>
    </row>
    <row r="65" spans="1:14" x14ac:dyDescent="0.3">
      <c r="E65" s="2" t="s">
        <v>79</v>
      </c>
      <c r="F65" s="5">
        <v>19</v>
      </c>
      <c r="I65" s="2" t="s">
        <v>79</v>
      </c>
      <c r="J65" s="3">
        <v>34.526315789473685</v>
      </c>
      <c r="M65" s="2" t="s">
        <v>79</v>
      </c>
      <c r="N65" s="5">
        <v>7.2</v>
      </c>
    </row>
    <row r="66" spans="1:14" x14ac:dyDescent="0.3">
      <c r="E66" s="2" t="s">
        <v>80</v>
      </c>
      <c r="F66" s="5">
        <v>24</v>
      </c>
      <c r="I66" s="2" t="s">
        <v>80</v>
      </c>
      <c r="J66" s="3">
        <v>33.708333333333336</v>
      </c>
      <c r="M66" s="2" t="s">
        <v>80</v>
      </c>
      <c r="N66" s="5">
        <v>6</v>
      </c>
    </row>
    <row r="67" spans="1:14" x14ac:dyDescent="0.3">
      <c r="A67" t="s">
        <v>411</v>
      </c>
      <c r="E67" s="2" t="s">
        <v>81</v>
      </c>
      <c r="F67" s="5">
        <v>24</v>
      </c>
      <c r="I67" s="2" t="s">
        <v>81</v>
      </c>
      <c r="J67" s="3">
        <v>36.291666666666664</v>
      </c>
      <c r="M67" s="2" t="s">
        <v>81</v>
      </c>
      <c r="N67" s="5">
        <v>1.5</v>
      </c>
    </row>
    <row r="68" spans="1:14" x14ac:dyDescent="0.3">
      <c r="A68" s="1" t="s">
        <v>0</v>
      </c>
      <c r="B68" t="s">
        <v>402</v>
      </c>
      <c r="E68" s="2" t="s">
        <v>82</v>
      </c>
      <c r="F68" s="5">
        <v>14</v>
      </c>
      <c r="I68" s="2" t="s">
        <v>82</v>
      </c>
      <c r="J68" s="3">
        <v>35.071428571428569</v>
      </c>
      <c r="M68" s="2" t="s">
        <v>82</v>
      </c>
      <c r="N68" s="5">
        <v>2.75</v>
      </c>
    </row>
    <row r="69" spans="1:14" x14ac:dyDescent="0.3">
      <c r="A69" s="2" t="s">
        <v>396</v>
      </c>
      <c r="B69" s="5">
        <v>4487</v>
      </c>
      <c r="E69" s="2" t="s">
        <v>83</v>
      </c>
      <c r="F69" s="5">
        <v>14</v>
      </c>
      <c r="I69" s="2" t="s">
        <v>83</v>
      </c>
      <c r="J69" s="3">
        <v>31.571428571428573</v>
      </c>
      <c r="M69" s="2" t="s">
        <v>83</v>
      </c>
      <c r="N69" s="5">
        <v>5</v>
      </c>
    </row>
    <row r="70" spans="1:14" x14ac:dyDescent="0.3">
      <c r="A70" s="2" t="s">
        <v>395</v>
      </c>
      <c r="B70" s="5">
        <v>4729</v>
      </c>
      <c r="E70" s="2" t="s">
        <v>84</v>
      </c>
      <c r="F70" s="5">
        <v>16</v>
      </c>
      <c r="I70" s="2" t="s">
        <v>84</v>
      </c>
      <c r="J70" s="3">
        <v>31.8125</v>
      </c>
      <c r="M70" s="2" t="s">
        <v>84</v>
      </c>
      <c r="N70" s="5">
        <v>5.5</v>
      </c>
    </row>
    <row r="71" spans="1:14" x14ac:dyDescent="0.3">
      <c r="A71" s="2" t="s">
        <v>9</v>
      </c>
      <c r="B71" s="5">
        <v>9216</v>
      </c>
      <c r="E71" s="2" t="s">
        <v>85</v>
      </c>
      <c r="F71" s="5">
        <v>26</v>
      </c>
      <c r="I71" s="2" t="s">
        <v>85</v>
      </c>
      <c r="J71" s="3">
        <v>36.846153846153847</v>
      </c>
      <c r="M71" s="2" t="s">
        <v>85</v>
      </c>
      <c r="N71" s="5">
        <v>5.0909090909090908</v>
      </c>
    </row>
    <row r="72" spans="1:14" x14ac:dyDescent="0.3">
      <c r="E72" s="2" t="s">
        <v>86</v>
      </c>
      <c r="F72" s="5">
        <v>14</v>
      </c>
      <c r="I72" s="2" t="s">
        <v>86</v>
      </c>
      <c r="J72" s="3">
        <v>34.071428571428569</v>
      </c>
      <c r="M72" s="2" t="s">
        <v>86</v>
      </c>
      <c r="N72" s="5">
        <v>7.666666666666667</v>
      </c>
    </row>
    <row r="73" spans="1:14" x14ac:dyDescent="0.3">
      <c r="E73" s="2" t="s">
        <v>87</v>
      </c>
      <c r="F73" s="5">
        <v>22</v>
      </c>
      <c r="I73" s="2" t="s">
        <v>87</v>
      </c>
      <c r="J73" s="3">
        <v>33</v>
      </c>
      <c r="M73" s="2" t="s">
        <v>87</v>
      </c>
      <c r="N73" s="5">
        <v>3.5</v>
      </c>
    </row>
    <row r="74" spans="1:14" x14ac:dyDescent="0.3">
      <c r="A74" s="14" t="s">
        <v>412</v>
      </c>
      <c r="B74" s="14"/>
      <c r="E74" s="2" t="s">
        <v>88</v>
      </c>
      <c r="F74" s="5">
        <v>18</v>
      </c>
      <c r="I74" s="2" t="s">
        <v>88</v>
      </c>
      <c r="J74" s="3">
        <v>40.222222222222221</v>
      </c>
      <c r="M74" s="2" t="s">
        <v>88</v>
      </c>
      <c r="N74" s="5">
        <v>3.6666666666666665</v>
      </c>
    </row>
    <row r="75" spans="1:14" x14ac:dyDescent="0.3">
      <c r="A75" s="1" t="s">
        <v>0</v>
      </c>
      <c r="B75" t="s">
        <v>405</v>
      </c>
      <c r="E75" s="2" t="s">
        <v>89</v>
      </c>
      <c r="F75" s="5">
        <v>20</v>
      </c>
      <c r="I75" s="2" t="s">
        <v>89</v>
      </c>
      <c r="J75" s="3">
        <v>42.05</v>
      </c>
      <c r="M75" s="2" t="s">
        <v>89</v>
      </c>
      <c r="N75" s="5">
        <v>3.8</v>
      </c>
    </row>
    <row r="76" spans="1:14" x14ac:dyDescent="0.3">
      <c r="A76" s="2" t="s">
        <v>404</v>
      </c>
      <c r="B76" s="5">
        <v>86</v>
      </c>
      <c r="E76" s="2" t="s">
        <v>90</v>
      </c>
      <c r="F76" s="5">
        <v>13</v>
      </c>
      <c r="I76" s="2" t="s">
        <v>90</v>
      </c>
      <c r="J76" s="3">
        <v>42.615384615384613</v>
      </c>
      <c r="M76" s="2" t="s">
        <v>90</v>
      </c>
      <c r="N76" s="5">
        <v>1</v>
      </c>
    </row>
    <row r="77" spans="1:14" x14ac:dyDescent="0.3">
      <c r="A77" s="2" t="s">
        <v>403</v>
      </c>
      <c r="B77" s="5">
        <v>178</v>
      </c>
      <c r="E77" s="2" t="s">
        <v>91</v>
      </c>
      <c r="F77" s="5">
        <v>13</v>
      </c>
      <c r="I77" s="2" t="s">
        <v>91</v>
      </c>
      <c r="J77" s="3">
        <v>40.46153846153846</v>
      </c>
      <c r="M77" s="2" t="s">
        <v>91</v>
      </c>
      <c r="N77" s="5">
        <v>7</v>
      </c>
    </row>
    <row r="78" spans="1:14" x14ac:dyDescent="0.3">
      <c r="A78" s="2" t="s">
        <v>401</v>
      </c>
      <c r="B78" s="5">
        <v>193</v>
      </c>
      <c r="E78" s="2" t="s">
        <v>92</v>
      </c>
      <c r="F78" s="5">
        <v>14</v>
      </c>
      <c r="I78" s="2" t="s">
        <v>92</v>
      </c>
      <c r="J78" s="3">
        <v>34.071428571428569</v>
      </c>
      <c r="M78" s="2" t="s">
        <v>92</v>
      </c>
      <c r="N78" s="5">
        <v>5</v>
      </c>
    </row>
    <row r="79" spans="1:14" x14ac:dyDescent="0.3">
      <c r="A79" s="2" t="s">
        <v>400</v>
      </c>
      <c r="B79" s="5">
        <v>248</v>
      </c>
      <c r="E79" s="2" t="s">
        <v>93</v>
      </c>
      <c r="F79" s="5">
        <v>13</v>
      </c>
      <c r="I79" s="2" t="s">
        <v>93</v>
      </c>
      <c r="J79" s="3">
        <v>33.92307692307692</v>
      </c>
      <c r="M79" s="2" t="s">
        <v>93</v>
      </c>
      <c r="N79" s="5">
        <v>4.25</v>
      </c>
    </row>
    <row r="80" spans="1:14" x14ac:dyDescent="0.3">
      <c r="A80" s="2" t="s">
        <v>399</v>
      </c>
      <c r="B80" s="5">
        <v>276</v>
      </c>
      <c r="E80" s="2" t="s">
        <v>94</v>
      </c>
      <c r="F80" s="5">
        <v>18</v>
      </c>
      <c r="I80" s="2" t="s">
        <v>94</v>
      </c>
      <c r="J80" s="3">
        <v>43.166666666666664</v>
      </c>
      <c r="M80" s="2" t="s">
        <v>94</v>
      </c>
      <c r="N80" s="5">
        <v>4</v>
      </c>
    </row>
    <row r="81" spans="1:14" x14ac:dyDescent="0.3">
      <c r="A81" s="2" t="s">
        <v>398</v>
      </c>
      <c r="B81" s="5">
        <v>995</v>
      </c>
      <c r="E81" s="2" t="s">
        <v>95</v>
      </c>
      <c r="F81" s="5">
        <v>12</v>
      </c>
      <c r="I81" s="2" t="s">
        <v>95</v>
      </c>
      <c r="J81" s="3">
        <v>42.25</v>
      </c>
      <c r="M81" s="2" t="s">
        <v>95</v>
      </c>
      <c r="N81" s="5">
        <v>7.333333333333333</v>
      </c>
    </row>
    <row r="82" spans="1:14" x14ac:dyDescent="0.3">
      <c r="A82" s="2" t="s">
        <v>397</v>
      </c>
      <c r="B82" s="5">
        <v>1840</v>
      </c>
      <c r="E82" s="2" t="s">
        <v>96</v>
      </c>
      <c r="F82" s="5">
        <v>11</v>
      </c>
      <c r="I82" s="2" t="s">
        <v>96</v>
      </c>
      <c r="J82" s="3">
        <v>44.090909090909093</v>
      </c>
      <c r="M82" s="2" t="s">
        <v>96</v>
      </c>
      <c r="N82" s="5">
        <v>9</v>
      </c>
    </row>
    <row r="83" spans="1:14" x14ac:dyDescent="0.3">
      <c r="A83" s="2" t="s">
        <v>406</v>
      </c>
      <c r="B83" s="5">
        <v>5400</v>
      </c>
      <c r="E83" s="2" t="s">
        <v>97</v>
      </c>
      <c r="F83" s="5">
        <v>14</v>
      </c>
      <c r="I83" s="2" t="s">
        <v>97</v>
      </c>
      <c r="J83" s="3">
        <v>39</v>
      </c>
      <c r="M83" s="2" t="s">
        <v>97</v>
      </c>
      <c r="N83" s="5">
        <v>5.25</v>
      </c>
    </row>
    <row r="84" spans="1:14" x14ac:dyDescent="0.3">
      <c r="A84" s="2" t="s">
        <v>9</v>
      </c>
      <c r="B84" s="5">
        <v>9216</v>
      </c>
      <c r="E84" s="2" t="s">
        <v>98</v>
      </c>
      <c r="F84" s="5">
        <v>12</v>
      </c>
      <c r="I84" s="2" t="s">
        <v>98</v>
      </c>
      <c r="J84" s="3">
        <v>31.25</v>
      </c>
      <c r="M84" s="2" t="s">
        <v>98</v>
      </c>
      <c r="N84" s="5">
        <v>6.6</v>
      </c>
    </row>
    <row r="85" spans="1:14" x14ac:dyDescent="0.3">
      <c r="E85" s="2" t="s">
        <v>99</v>
      </c>
      <c r="F85" s="5">
        <v>16</v>
      </c>
      <c r="I85" s="2" t="s">
        <v>99</v>
      </c>
      <c r="J85" s="3">
        <v>28.5</v>
      </c>
      <c r="M85" s="2" t="s">
        <v>99</v>
      </c>
      <c r="N85" s="5">
        <v>6.25</v>
      </c>
    </row>
    <row r="86" spans="1:14" x14ac:dyDescent="0.3">
      <c r="E86" s="2" t="s">
        <v>100</v>
      </c>
      <c r="F86" s="5">
        <v>16</v>
      </c>
      <c r="I86" s="2" t="s">
        <v>100</v>
      </c>
      <c r="J86" s="3">
        <v>34.0625</v>
      </c>
      <c r="M86" s="2" t="s">
        <v>100</v>
      </c>
      <c r="N86" s="5">
        <v>6.333333333333333</v>
      </c>
    </row>
    <row r="87" spans="1:14" x14ac:dyDescent="0.3">
      <c r="E87" s="2" t="s">
        <v>101</v>
      </c>
      <c r="F87" s="5">
        <v>15</v>
      </c>
      <c r="I87" s="2" t="s">
        <v>101</v>
      </c>
      <c r="J87" s="3">
        <v>25.2</v>
      </c>
      <c r="M87" s="2" t="s">
        <v>101</v>
      </c>
      <c r="N87" s="5">
        <v>7</v>
      </c>
    </row>
    <row r="88" spans="1:14" x14ac:dyDescent="0.3">
      <c r="A88" s="1" t="s">
        <v>0</v>
      </c>
      <c r="E88" s="2" t="s">
        <v>102</v>
      </c>
      <c r="F88" s="5">
        <v>22</v>
      </c>
      <c r="I88" s="2" t="s">
        <v>102</v>
      </c>
      <c r="J88" s="3">
        <v>35.863636363636367</v>
      </c>
      <c r="M88" s="2" t="s">
        <v>102</v>
      </c>
      <c r="N88" s="5">
        <v>5.666666666666667</v>
      </c>
    </row>
    <row r="89" spans="1:14" x14ac:dyDescent="0.3">
      <c r="A89" s="2" t="s">
        <v>17</v>
      </c>
      <c r="E89" s="2" t="s">
        <v>103</v>
      </c>
      <c r="F89" s="5">
        <v>18</v>
      </c>
      <c r="I89" s="2" t="s">
        <v>103</v>
      </c>
      <c r="J89" s="3">
        <v>39.833333333333336</v>
      </c>
      <c r="M89" s="2" t="s">
        <v>103</v>
      </c>
      <c r="N89" s="5">
        <v>3.3333333333333335</v>
      </c>
    </row>
    <row r="90" spans="1:14" x14ac:dyDescent="0.3">
      <c r="A90" s="2" t="s">
        <v>18</v>
      </c>
      <c r="E90" s="2" t="s">
        <v>104</v>
      </c>
      <c r="F90" s="5">
        <v>10</v>
      </c>
      <c r="I90" s="2" t="s">
        <v>104</v>
      </c>
      <c r="J90" s="3">
        <v>37</v>
      </c>
      <c r="M90" s="2" t="s">
        <v>104</v>
      </c>
      <c r="N90" s="5">
        <v>4.75</v>
      </c>
    </row>
    <row r="91" spans="1:14" x14ac:dyDescent="0.3">
      <c r="A91" s="2" t="s">
        <v>9</v>
      </c>
      <c r="E91" s="2" t="s">
        <v>105</v>
      </c>
      <c r="F91" s="5">
        <v>17</v>
      </c>
      <c r="I91" s="2" t="s">
        <v>105</v>
      </c>
      <c r="J91" s="3">
        <v>39.411764705882355</v>
      </c>
      <c r="M91" s="2" t="s">
        <v>105</v>
      </c>
      <c r="N91" s="5">
        <v>2</v>
      </c>
    </row>
    <row r="92" spans="1:14" x14ac:dyDescent="0.3">
      <c r="E92" s="2" t="s">
        <v>106</v>
      </c>
      <c r="F92" s="5">
        <v>17</v>
      </c>
      <c r="I92" s="2" t="s">
        <v>106</v>
      </c>
      <c r="J92" s="3">
        <v>30.294117647058822</v>
      </c>
      <c r="M92" s="2" t="s">
        <v>106</v>
      </c>
      <c r="N92" s="5">
        <v>9.25</v>
      </c>
    </row>
    <row r="93" spans="1:14" x14ac:dyDescent="0.3">
      <c r="E93" s="2" t="s">
        <v>107</v>
      </c>
      <c r="F93" s="5">
        <v>12</v>
      </c>
      <c r="I93" s="2" t="s">
        <v>107</v>
      </c>
      <c r="J93" s="3">
        <v>32.666666666666664</v>
      </c>
      <c r="M93" s="2" t="s">
        <v>107</v>
      </c>
      <c r="N93" s="5">
        <v>2.6666666666666665</v>
      </c>
    </row>
    <row r="94" spans="1:14" x14ac:dyDescent="0.3">
      <c r="E94" s="2" t="s">
        <v>108</v>
      </c>
      <c r="F94" s="5">
        <v>14</v>
      </c>
      <c r="I94" s="2" t="s">
        <v>108</v>
      </c>
      <c r="J94" s="3">
        <v>30.571428571428573</v>
      </c>
      <c r="M94" s="2" t="s">
        <v>108</v>
      </c>
      <c r="N94" s="5">
        <v>4</v>
      </c>
    </row>
    <row r="95" spans="1:14" x14ac:dyDescent="0.3">
      <c r="E95" s="2" t="s">
        <v>109</v>
      </c>
      <c r="F95" s="5">
        <v>18</v>
      </c>
      <c r="I95" s="2" t="s">
        <v>109</v>
      </c>
      <c r="J95" s="3">
        <v>39.055555555555557</v>
      </c>
      <c r="M95" s="2" t="s">
        <v>109</v>
      </c>
      <c r="N95" s="5">
        <v>8.75</v>
      </c>
    </row>
    <row r="96" spans="1:14" x14ac:dyDescent="0.3">
      <c r="E96" s="2" t="s">
        <v>110</v>
      </c>
      <c r="F96" s="5">
        <v>31</v>
      </c>
      <c r="I96" s="2" t="s">
        <v>110</v>
      </c>
      <c r="J96" s="3">
        <v>37.12903225806452</v>
      </c>
      <c r="M96" s="2" t="s">
        <v>110</v>
      </c>
      <c r="N96" s="5">
        <v>3.8</v>
      </c>
    </row>
    <row r="97" spans="5:14" x14ac:dyDescent="0.3">
      <c r="E97" s="2" t="s">
        <v>111</v>
      </c>
      <c r="F97" s="5">
        <v>32</v>
      </c>
      <c r="I97" s="2" t="s">
        <v>111</v>
      </c>
      <c r="J97" s="3">
        <v>35.34375</v>
      </c>
      <c r="M97" s="2" t="s">
        <v>111</v>
      </c>
      <c r="N97" s="5">
        <v>6</v>
      </c>
    </row>
    <row r="98" spans="5:14" x14ac:dyDescent="0.3">
      <c r="E98" s="2" t="s">
        <v>112</v>
      </c>
      <c r="F98" s="5">
        <v>31</v>
      </c>
      <c r="I98" s="2" t="s">
        <v>112</v>
      </c>
      <c r="J98" s="3">
        <v>33.064516129032256</v>
      </c>
      <c r="M98" s="2" t="s">
        <v>112</v>
      </c>
      <c r="N98" s="5">
        <v>4.5999999999999996</v>
      </c>
    </row>
    <row r="99" spans="5:14" x14ac:dyDescent="0.3">
      <c r="E99" s="2" t="s">
        <v>113</v>
      </c>
      <c r="F99" s="5">
        <v>29</v>
      </c>
      <c r="I99" s="2" t="s">
        <v>113</v>
      </c>
      <c r="J99" s="3">
        <v>33.482758620689658</v>
      </c>
      <c r="M99" s="2" t="s">
        <v>113</v>
      </c>
      <c r="N99" s="5">
        <v>5.7142857142857144</v>
      </c>
    </row>
    <row r="100" spans="5:14" x14ac:dyDescent="0.3">
      <c r="E100" s="2" t="s">
        <v>114</v>
      </c>
      <c r="F100" s="5">
        <v>34</v>
      </c>
      <c r="I100" s="2" t="s">
        <v>114</v>
      </c>
      <c r="J100" s="3">
        <v>34</v>
      </c>
      <c r="M100" s="2" t="s">
        <v>114</v>
      </c>
      <c r="N100" s="5">
        <v>4.666666666666667</v>
      </c>
    </row>
    <row r="101" spans="5:14" x14ac:dyDescent="0.3">
      <c r="E101" s="2" t="s">
        <v>115</v>
      </c>
      <c r="F101" s="5">
        <v>31</v>
      </c>
      <c r="I101" s="2" t="s">
        <v>115</v>
      </c>
      <c r="J101" s="3">
        <v>34.354838709677416</v>
      </c>
      <c r="M101" s="2" t="s">
        <v>115</v>
      </c>
      <c r="N101" s="5">
        <v>3.4</v>
      </c>
    </row>
    <row r="102" spans="5:14" x14ac:dyDescent="0.3">
      <c r="E102" s="2" t="s">
        <v>116</v>
      </c>
      <c r="F102" s="5">
        <v>27</v>
      </c>
      <c r="I102" s="2" t="s">
        <v>116</v>
      </c>
      <c r="J102" s="3">
        <v>32.666666666666664</v>
      </c>
      <c r="M102" s="2" t="s">
        <v>116</v>
      </c>
      <c r="N102" s="5">
        <v>5</v>
      </c>
    </row>
    <row r="103" spans="5:14" x14ac:dyDescent="0.3">
      <c r="E103" s="2" t="s">
        <v>117</v>
      </c>
      <c r="F103" s="5">
        <v>32</v>
      </c>
      <c r="I103" s="2" t="s">
        <v>117</v>
      </c>
      <c r="J103" s="3">
        <v>30.3125</v>
      </c>
      <c r="M103" s="2" t="s">
        <v>117</v>
      </c>
      <c r="N103" s="5">
        <v>5.8571428571428568</v>
      </c>
    </row>
    <row r="104" spans="5:14" x14ac:dyDescent="0.3">
      <c r="E104" s="2" t="s">
        <v>118</v>
      </c>
      <c r="F104" s="5">
        <v>27</v>
      </c>
      <c r="I104" s="2" t="s">
        <v>118</v>
      </c>
      <c r="J104" s="3">
        <v>33.925925925925924</v>
      </c>
      <c r="M104" s="2" t="s">
        <v>118</v>
      </c>
      <c r="N104" s="5">
        <v>4.8888888888888893</v>
      </c>
    </row>
    <row r="105" spans="5:14" x14ac:dyDescent="0.3">
      <c r="E105" s="2" t="s">
        <v>119</v>
      </c>
      <c r="F105" s="5">
        <v>27</v>
      </c>
      <c r="I105" s="2" t="s">
        <v>119</v>
      </c>
      <c r="J105" s="3">
        <v>32.037037037037038</v>
      </c>
      <c r="M105" s="2" t="s">
        <v>119</v>
      </c>
      <c r="N105" s="5">
        <v>6</v>
      </c>
    </row>
    <row r="106" spans="5:14" x14ac:dyDescent="0.3">
      <c r="E106" s="2" t="s">
        <v>120</v>
      </c>
      <c r="F106" s="5">
        <v>33</v>
      </c>
      <c r="I106" s="2" t="s">
        <v>120</v>
      </c>
      <c r="J106" s="3">
        <v>38.606060606060609</v>
      </c>
      <c r="M106" s="2" t="s">
        <v>120</v>
      </c>
      <c r="N106" s="5">
        <v>4.7142857142857144</v>
      </c>
    </row>
    <row r="107" spans="5:14" x14ac:dyDescent="0.3">
      <c r="E107" s="2" t="s">
        <v>121</v>
      </c>
      <c r="F107" s="5">
        <v>42</v>
      </c>
      <c r="I107" s="2" t="s">
        <v>121</v>
      </c>
      <c r="J107" s="3">
        <v>36.761904761904759</v>
      </c>
      <c r="M107" s="2" t="s">
        <v>121</v>
      </c>
      <c r="N107" s="5">
        <v>7.1428571428571432</v>
      </c>
    </row>
    <row r="108" spans="5:14" x14ac:dyDescent="0.3">
      <c r="E108" s="2" t="s">
        <v>122</v>
      </c>
      <c r="F108" s="5">
        <v>25</v>
      </c>
      <c r="I108" s="2" t="s">
        <v>122</v>
      </c>
      <c r="J108" s="3">
        <v>28.52</v>
      </c>
      <c r="M108" s="2" t="s">
        <v>122</v>
      </c>
      <c r="N108" s="5">
        <v>4.333333333333333</v>
      </c>
    </row>
    <row r="109" spans="5:14" x14ac:dyDescent="0.3">
      <c r="E109" s="2" t="s">
        <v>123</v>
      </c>
      <c r="F109" s="5">
        <v>34</v>
      </c>
      <c r="I109" s="2" t="s">
        <v>123</v>
      </c>
      <c r="J109" s="3">
        <v>33.882352941176471</v>
      </c>
      <c r="M109" s="2" t="s">
        <v>123</v>
      </c>
      <c r="N109" s="5">
        <v>6.7333333333333334</v>
      </c>
    </row>
    <row r="110" spans="5:14" x14ac:dyDescent="0.3">
      <c r="E110" s="2" t="s">
        <v>124</v>
      </c>
      <c r="F110" s="5">
        <v>32</v>
      </c>
      <c r="I110" s="2" t="s">
        <v>124</v>
      </c>
      <c r="J110" s="3">
        <v>39.625</v>
      </c>
      <c r="M110" s="2" t="s">
        <v>124</v>
      </c>
      <c r="N110" s="5">
        <v>5.2857142857142856</v>
      </c>
    </row>
    <row r="111" spans="5:14" x14ac:dyDescent="0.3">
      <c r="E111" s="2" t="s">
        <v>125</v>
      </c>
      <c r="F111" s="5">
        <v>34</v>
      </c>
      <c r="I111" s="2" t="s">
        <v>125</v>
      </c>
      <c r="J111" s="3">
        <v>31.823529411764707</v>
      </c>
      <c r="M111" s="2" t="s">
        <v>125</v>
      </c>
      <c r="N111" s="5">
        <v>4.916666666666667</v>
      </c>
    </row>
    <row r="112" spans="5:14" x14ac:dyDescent="0.3">
      <c r="E112" s="2" t="s">
        <v>126</v>
      </c>
      <c r="F112" s="5">
        <v>26</v>
      </c>
      <c r="I112" s="2" t="s">
        <v>126</v>
      </c>
      <c r="J112" s="3">
        <v>37.769230769230766</v>
      </c>
      <c r="M112" s="2" t="s">
        <v>126</v>
      </c>
      <c r="N112" s="5">
        <v>4.333333333333333</v>
      </c>
    </row>
    <row r="113" spans="5:14" x14ac:dyDescent="0.3">
      <c r="E113" s="2" t="s">
        <v>127</v>
      </c>
      <c r="F113" s="5">
        <v>36</v>
      </c>
      <c r="I113" s="2" t="s">
        <v>127</v>
      </c>
      <c r="J113" s="3">
        <v>38.055555555555557</v>
      </c>
      <c r="M113" s="2" t="s">
        <v>127</v>
      </c>
      <c r="N113" s="5">
        <v>5.333333333333333</v>
      </c>
    </row>
    <row r="114" spans="5:14" x14ac:dyDescent="0.3">
      <c r="E114" s="2" t="s">
        <v>128</v>
      </c>
      <c r="F114" s="5">
        <v>31</v>
      </c>
      <c r="I114" s="2" t="s">
        <v>128</v>
      </c>
      <c r="J114" s="3">
        <v>30.129032258064516</v>
      </c>
      <c r="M114" s="2" t="s">
        <v>128</v>
      </c>
      <c r="N114" s="5">
        <v>4.3636363636363633</v>
      </c>
    </row>
    <row r="115" spans="5:14" x14ac:dyDescent="0.3">
      <c r="E115" s="2" t="s">
        <v>129</v>
      </c>
      <c r="F115" s="5">
        <v>32</v>
      </c>
      <c r="I115" s="2" t="s">
        <v>129</v>
      </c>
      <c r="J115" s="3">
        <v>35.03125</v>
      </c>
      <c r="M115" s="2" t="s">
        <v>129</v>
      </c>
      <c r="N115" s="5">
        <v>2.9090909090909092</v>
      </c>
    </row>
    <row r="116" spans="5:14" x14ac:dyDescent="0.3">
      <c r="E116" s="2" t="s">
        <v>130</v>
      </c>
      <c r="F116" s="5">
        <v>33</v>
      </c>
      <c r="I116" s="2" t="s">
        <v>130</v>
      </c>
      <c r="J116" s="3">
        <v>35.303030303030305</v>
      </c>
      <c r="M116" s="2" t="s">
        <v>130</v>
      </c>
      <c r="N116" s="5">
        <v>4.5</v>
      </c>
    </row>
    <row r="117" spans="5:14" x14ac:dyDescent="0.3">
      <c r="E117" s="2" t="s">
        <v>131</v>
      </c>
      <c r="F117" s="5">
        <v>39</v>
      </c>
      <c r="I117" s="2" t="s">
        <v>131</v>
      </c>
      <c r="J117" s="3">
        <v>35.717948717948715</v>
      </c>
      <c r="M117" s="2" t="s">
        <v>131</v>
      </c>
      <c r="N117" s="5">
        <v>6.1</v>
      </c>
    </row>
    <row r="118" spans="5:14" x14ac:dyDescent="0.3">
      <c r="E118" s="2" t="s">
        <v>132</v>
      </c>
      <c r="F118" s="5">
        <v>27</v>
      </c>
      <c r="I118" s="2" t="s">
        <v>132</v>
      </c>
      <c r="J118" s="3">
        <v>41.407407407407405</v>
      </c>
      <c r="M118" s="2" t="s">
        <v>132</v>
      </c>
      <c r="N118" s="5">
        <v>6.666666666666667</v>
      </c>
    </row>
    <row r="119" spans="5:14" x14ac:dyDescent="0.3">
      <c r="E119" s="2" t="s">
        <v>133</v>
      </c>
      <c r="F119" s="5">
        <v>32</v>
      </c>
      <c r="I119" s="2" t="s">
        <v>133</v>
      </c>
      <c r="J119" s="3">
        <v>37.28125</v>
      </c>
      <c r="M119" s="2" t="s">
        <v>133</v>
      </c>
      <c r="N119" s="5">
        <v>5</v>
      </c>
    </row>
    <row r="120" spans="5:14" x14ac:dyDescent="0.3">
      <c r="E120" s="2" t="s">
        <v>134</v>
      </c>
      <c r="F120" s="5">
        <v>33</v>
      </c>
      <c r="I120" s="2" t="s">
        <v>134</v>
      </c>
      <c r="J120" s="3">
        <v>38.575757575757578</v>
      </c>
      <c r="M120" s="2" t="s">
        <v>134</v>
      </c>
      <c r="N120" s="5">
        <v>2.5555555555555554</v>
      </c>
    </row>
    <row r="121" spans="5:14" x14ac:dyDescent="0.3">
      <c r="E121" s="2" t="s">
        <v>135</v>
      </c>
      <c r="F121" s="5">
        <v>34</v>
      </c>
      <c r="I121" s="2" t="s">
        <v>135</v>
      </c>
      <c r="J121" s="3">
        <v>33.411764705882355</v>
      </c>
      <c r="M121" s="2" t="s">
        <v>135</v>
      </c>
      <c r="N121" s="5">
        <v>5.5714285714285712</v>
      </c>
    </row>
    <row r="122" spans="5:14" x14ac:dyDescent="0.3">
      <c r="E122" s="2" t="s">
        <v>136</v>
      </c>
      <c r="F122" s="5">
        <v>35</v>
      </c>
      <c r="I122" s="2" t="s">
        <v>136</v>
      </c>
      <c r="J122" s="3">
        <v>36.6</v>
      </c>
      <c r="M122" s="2" t="s">
        <v>136</v>
      </c>
      <c r="N122" s="5">
        <v>4.8461538461538458</v>
      </c>
    </row>
    <row r="123" spans="5:14" x14ac:dyDescent="0.3">
      <c r="E123" s="2" t="s">
        <v>137</v>
      </c>
      <c r="F123" s="5">
        <v>32</v>
      </c>
      <c r="I123" s="2" t="s">
        <v>137</v>
      </c>
      <c r="J123" s="3">
        <v>31.875</v>
      </c>
      <c r="M123" s="2" t="s">
        <v>137</v>
      </c>
      <c r="N123" s="5">
        <v>4.8888888888888893</v>
      </c>
    </row>
    <row r="124" spans="5:14" x14ac:dyDescent="0.3">
      <c r="E124" s="2" t="s">
        <v>138</v>
      </c>
      <c r="F124" s="5">
        <v>27</v>
      </c>
      <c r="I124" s="2" t="s">
        <v>138</v>
      </c>
      <c r="J124" s="3">
        <v>36.925925925925924</v>
      </c>
      <c r="M124" s="2" t="s">
        <v>138</v>
      </c>
      <c r="N124" s="5">
        <v>4.8</v>
      </c>
    </row>
    <row r="125" spans="5:14" x14ac:dyDescent="0.3">
      <c r="E125" s="2" t="s">
        <v>139</v>
      </c>
      <c r="F125" s="5">
        <v>30</v>
      </c>
      <c r="I125" s="2" t="s">
        <v>139</v>
      </c>
      <c r="J125" s="3">
        <v>33.533333333333331</v>
      </c>
      <c r="M125" s="2" t="s">
        <v>139</v>
      </c>
      <c r="N125" s="5">
        <v>5.375</v>
      </c>
    </row>
    <row r="126" spans="5:14" x14ac:dyDescent="0.3">
      <c r="E126" s="2" t="s">
        <v>140</v>
      </c>
      <c r="F126" s="5">
        <v>34</v>
      </c>
      <c r="I126" s="2" t="s">
        <v>140</v>
      </c>
      <c r="J126" s="3">
        <v>33.205882352941174</v>
      </c>
      <c r="M126" s="2" t="s">
        <v>140</v>
      </c>
      <c r="N126" s="5">
        <v>6.8571428571428568</v>
      </c>
    </row>
    <row r="127" spans="5:14" x14ac:dyDescent="0.3">
      <c r="E127" s="2" t="s">
        <v>141</v>
      </c>
      <c r="F127" s="5">
        <v>37</v>
      </c>
      <c r="I127" s="2" t="s">
        <v>141</v>
      </c>
      <c r="J127" s="3">
        <v>30.135135135135137</v>
      </c>
      <c r="M127" s="2" t="s">
        <v>141</v>
      </c>
      <c r="N127" s="5">
        <v>4.3636363636363633</v>
      </c>
    </row>
    <row r="128" spans="5:14" x14ac:dyDescent="0.3">
      <c r="E128" s="2" t="s">
        <v>142</v>
      </c>
      <c r="F128" s="5">
        <v>41</v>
      </c>
      <c r="I128" s="2" t="s">
        <v>142</v>
      </c>
      <c r="J128" s="3">
        <v>38.512195121951223</v>
      </c>
      <c r="M128" s="2" t="s">
        <v>142</v>
      </c>
      <c r="N128" s="5">
        <v>6.416666666666667</v>
      </c>
    </row>
    <row r="129" spans="5:14" x14ac:dyDescent="0.3">
      <c r="E129" s="2" t="s">
        <v>143</v>
      </c>
      <c r="F129" s="5">
        <v>31</v>
      </c>
      <c r="I129" s="2" t="s">
        <v>143</v>
      </c>
      <c r="J129" s="3">
        <v>34.806451612903224</v>
      </c>
      <c r="M129" s="2" t="s">
        <v>143</v>
      </c>
      <c r="N129" s="5">
        <v>5.5384615384615383</v>
      </c>
    </row>
    <row r="130" spans="5:14" x14ac:dyDescent="0.3">
      <c r="E130" s="2" t="s">
        <v>144</v>
      </c>
      <c r="F130" s="5">
        <v>29</v>
      </c>
      <c r="I130" s="2" t="s">
        <v>144</v>
      </c>
      <c r="J130" s="3">
        <v>34.517241379310342</v>
      </c>
      <c r="M130" s="2" t="s">
        <v>144</v>
      </c>
      <c r="N130" s="5">
        <v>5</v>
      </c>
    </row>
    <row r="131" spans="5:14" x14ac:dyDescent="0.3">
      <c r="E131" s="2" t="s">
        <v>145</v>
      </c>
      <c r="F131" s="5">
        <v>33</v>
      </c>
      <c r="I131" s="2" t="s">
        <v>145</v>
      </c>
      <c r="J131" s="3">
        <v>36.575757575757578</v>
      </c>
      <c r="M131" s="2" t="s">
        <v>145</v>
      </c>
      <c r="N131" s="5">
        <v>4.9090909090909092</v>
      </c>
    </row>
    <row r="132" spans="5:14" x14ac:dyDescent="0.3">
      <c r="E132" s="2" t="s">
        <v>146</v>
      </c>
      <c r="F132" s="5">
        <v>30</v>
      </c>
      <c r="I132" s="2" t="s">
        <v>146</v>
      </c>
      <c r="J132" s="3">
        <v>35.833333333333336</v>
      </c>
      <c r="M132" s="2" t="s">
        <v>146</v>
      </c>
      <c r="N132" s="5">
        <v>3.3</v>
      </c>
    </row>
    <row r="133" spans="5:14" x14ac:dyDescent="0.3">
      <c r="E133" s="2" t="s">
        <v>147</v>
      </c>
      <c r="F133" s="5">
        <v>37</v>
      </c>
      <c r="I133" s="2" t="s">
        <v>147</v>
      </c>
      <c r="J133" s="3">
        <v>35.567567567567565</v>
      </c>
      <c r="M133" s="2" t="s">
        <v>147</v>
      </c>
      <c r="N133" s="5">
        <v>4.7</v>
      </c>
    </row>
    <row r="134" spans="5:14" x14ac:dyDescent="0.3">
      <c r="E134" s="2" t="s">
        <v>148</v>
      </c>
      <c r="F134" s="5">
        <v>33</v>
      </c>
      <c r="I134" s="2" t="s">
        <v>148</v>
      </c>
      <c r="J134" s="3">
        <v>36.333333333333336</v>
      </c>
      <c r="M134" s="2" t="s">
        <v>148</v>
      </c>
      <c r="N134" s="5">
        <v>4.666666666666667</v>
      </c>
    </row>
    <row r="135" spans="5:14" x14ac:dyDescent="0.3">
      <c r="E135" s="2" t="s">
        <v>149</v>
      </c>
      <c r="F135" s="5">
        <v>37</v>
      </c>
      <c r="I135" s="2" t="s">
        <v>149</v>
      </c>
      <c r="J135" s="3">
        <v>31.351351351351351</v>
      </c>
      <c r="M135" s="2" t="s">
        <v>149</v>
      </c>
      <c r="N135" s="5">
        <v>4.875</v>
      </c>
    </row>
    <row r="136" spans="5:14" x14ac:dyDescent="0.3">
      <c r="E136" s="2" t="s">
        <v>150</v>
      </c>
      <c r="F136" s="5">
        <v>31</v>
      </c>
      <c r="I136" s="2" t="s">
        <v>150</v>
      </c>
      <c r="J136" s="3">
        <v>31.64516129032258</v>
      </c>
      <c r="M136" s="2" t="s">
        <v>150</v>
      </c>
      <c r="N136" s="5">
        <v>5.333333333333333</v>
      </c>
    </row>
    <row r="137" spans="5:14" x14ac:dyDescent="0.3">
      <c r="E137" s="2" t="s">
        <v>151</v>
      </c>
      <c r="F137" s="5">
        <v>25</v>
      </c>
      <c r="I137" s="2" t="s">
        <v>151</v>
      </c>
      <c r="J137" s="3">
        <v>40.200000000000003</v>
      </c>
      <c r="M137" s="2" t="s">
        <v>151</v>
      </c>
      <c r="N137" s="5">
        <v>4.125</v>
      </c>
    </row>
    <row r="138" spans="5:14" x14ac:dyDescent="0.3">
      <c r="E138" s="2" t="s">
        <v>152</v>
      </c>
      <c r="F138" s="5">
        <v>25</v>
      </c>
      <c r="I138" s="2" t="s">
        <v>152</v>
      </c>
      <c r="J138" s="3">
        <v>38</v>
      </c>
      <c r="M138" s="2" t="s">
        <v>152</v>
      </c>
      <c r="N138" s="5">
        <v>6</v>
      </c>
    </row>
    <row r="139" spans="5:14" x14ac:dyDescent="0.3">
      <c r="E139" s="2" t="s">
        <v>153</v>
      </c>
      <c r="F139" s="5">
        <v>25</v>
      </c>
      <c r="I139" s="2" t="s">
        <v>153</v>
      </c>
      <c r="J139" s="3">
        <v>30.56</v>
      </c>
      <c r="M139" s="2" t="s">
        <v>153</v>
      </c>
      <c r="N139" s="5">
        <v>4.3</v>
      </c>
    </row>
    <row r="140" spans="5:14" x14ac:dyDescent="0.3">
      <c r="E140" s="2" t="s">
        <v>154</v>
      </c>
      <c r="F140" s="5">
        <v>23</v>
      </c>
      <c r="I140" s="2" t="s">
        <v>154</v>
      </c>
      <c r="J140" s="3">
        <v>34.565217391304351</v>
      </c>
      <c r="M140" s="2" t="s">
        <v>154</v>
      </c>
      <c r="N140" s="5">
        <v>4.2</v>
      </c>
    </row>
    <row r="141" spans="5:14" x14ac:dyDescent="0.3">
      <c r="E141" s="2" t="s">
        <v>155</v>
      </c>
      <c r="F141" s="5">
        <v>41</v>
      </c>
      <c r="I141" s="2" t="s">
        <v>155</v>
      </c>
      <c r="J141" s="3">
        <v>32.902439024390247</v>
      </c>
      <c r="M141" s="2" t="s">
        <v>155</v>
      </c>
      <c r="N141" s="5">
        <v>6.8666666666666663</v>
      </c>
    </row>
    <row r="142" spans="5:14" x14ac:dyDescent="0.3">
      <c r="E142" s="2" t="s">
        <v>156</v>
      </c>
      <c r="F142" s="5">
        <v>31</v>
      </c>
      <c r="I142" s="2" t="s">
        <v>156</v>
      </c>
      <c r="J142" s="3">
        <v>33.451612903225808</v>
      </c>
      <c r="M142" s="2" t="s">
        <v>156</v>
      </c>
      <c r="N142" s="5">
        <v>6.2857142857142856</v>
      </c>
    </row>
    <row r="143" spans="5:14" x14ac:dyDescent="0.3">
      <c r="E143" s="2" t="s">
        <v>157</v>
      </c>
      <c r="F143" s="5">
        <v>34</v>
      </c>
      <c r="I143" s="2" t="s">
        <v>157</v>
      </c>
      <c r="J143" s="3">
        <v>36.117647058823529</v>
      </c>
      <c r="M143" s="2" t="s">
        <v>157</v>
      </c>
      <c r="N143" s="5">
        <v>4.0909090909090908</v>
      </c>
    </row>
    <row r="144" spans="5:14" x14ac:dyDescent="0.3">
      <c r="E144" s="2" t="s">
        <v>158</v>
      </c>
      <c r="F144" s="5">
        <v>31</v>
      </c>
      <c r="I144" s="2" t="s">
        <v>158</v>
      </c>
      <c r="J144" s="3">
        <v>36.322580645161288</v>
      </c>
      <c r="M144" s="2" t="s">
        <v>158</v>
      </c>
      <c r="N144" s="5">
        <v>4</v>
      </c>
    </row>
    <row r="145" spans="5:14" x14ac:dyDescent="0.3">
      <c r="E145" s="2" t="s">
        <v>159</v>
      </c>
      <c r="F145" s="5">
        <v>31</v>
      </c>
      <c r="I145" s="2" t="s">
        <v>159</v>
      </c>
      <c r="J145" s="3">
        <v>32.806451612903224</v>
      </c>
      <c r="M145" s="2" t="s">
        <v>159</v>
      </c>
      <c r="N145" s="5">
        <v>5.4285714285714288</v>
      </c>
    </row>
    <row r="146" spans="5:14" x14ac:dyDescent="0.3">
      <c r="E146" s="2" t="s">
        <v>160</v>
      </c>
      <c r="F146" s="5">
        <v>44</v>
      </c>
      <c r="I146" s="2" t="s">
        <v>160</v>
      </c>
      <c r="J146" s="3">
        <v>37.704545454545453</v>
      </c>
      <c r="M146" s="2" t="s">
        <v>160</v>
      </c>
      <c r="N146" s="5">
        <v>5.8</v>
      </c>
    </row>
    <row r="147" spans="5:14" x14ac:dyDescent="0.3">
      <c r="E147" s="2" t="s">
        <v>161</v>
      </c>
      <c r="F147" s="5">
        <v>43</v>
      </c>
      <c r="I147" s="2" t="s">
        <v>161</v>
      </c>
      <c r="J147" s="3">
        <v>36.534883720930232</v>
      </c>
      <c r="M147" s="2" t="s">
        <v>161</v>
      </c>
      <c r="N147" s="5">
        <v>4.5625</v>
      </c>
    </row>
    <row r="148" spans="5:14" x14ac:dyDescent="0.3">
      <c r="E148" s="2" t="s">
        <v>162</v>
      </c>
      <c r="F148" s="5">
        <v>33</v>
      </c>
      <c r="I148" s="2" t="s">
        <v>162</v>
      </c>
      <c r="J148" s="3">
        <v>35.303030303030305</v>
      </c>
      <c r="M148" s="2" t="s">
        <v>162</v>
      </c>
      <c r="N148" s="5">
        <v>4.5454545454545459</v>
      </c>
    </row>
    <row r="149" spans="5:14" x14ac:dyDescent="0.3">
      <c r="E149" s="2" t="s">
        <v>163</v>
      </c>
      <c r="F149" s="5">
        <v>28</v>
      </c>
      <c r="I149" s="2" t="s">
        <v>163</v>
      </c>
      <c r="J149" s="3">
        <v>41.535714285714285</v>
      </c>
      <c r="M149" s="2" t="s">
        <v>163</v>
      </c>
      <c r="N149" s="5">
        <v>5.75</v>
      </c>
    </row>
    <row r="150" spans="5:14" x14ac:dyDescent="0.3">
      <c r="E150" s="2" t="s">
        <v>164</v>
      </c>
      <c r="F150" s="5">
        <v>34</v>
      </c>
      <c r="I150" s="2" t="s">
        <v>164</v>
      </c>
      <c r="J150" s="3">
        <v>38.147058823529413</v>
      </c>
      <c r="M150" s="2" t="s">
        <v>164</v>
      </c>
      <c r="N150" s="5">
        <v>5.2</v>
      </c>
    </row>
    <row r="151" spans="5:14" x14ac:dyDescent="0.3">
      <c r="E151" s="2" t="s">
        <v>165</v>
      </c>
      <c r="F151" s="5">
        <v>24</v>
      </c>
      <c r="I151" s="2" t="s">
        <v>165</v>
      </c>
      <c r="J151" s="3">
        <v>37.166666666666664</v>
      </c>
      <c r="M151" s="2" t="s">
        <v>165</v>
      </c>
      <c r="N151" s="5">
        <v>7.25</v>
      </c>
    </row>
    <row r="152" spans="5:14" x14ac:dyDescent="0.3">
      <c r="E152" s="2" t="s">
        <v>166</v>
      </c>
      <c r="F152" s="5">
        <v>27</v>
      </c>
      <c r="I152" s="2" t="s">
        <v>166</v>
      </c>
      <c r="J152" s="3">
        <v>33.629629629629626</v>
      </c>
      <c r="M152" s="2" t="s">
        <v>166</v>
      </c>
      <c r="N152" s="5">
        <v>4.8</v>
      </c>
    </row>
    <row r="153" spans="5:14" x14ac:dyDescent="0.3">
      <c r="E153" s="2" t="s">
        <v>167</v>
      </c>
      <c r="F153" s="5">
        <v>23</v>
      </c>
      <c r="I153" s="2" t="s">
        <v>167</v>
      </c>
      <c r="J153" s="3">
        <v>33.130434782608695</v>
      </c>
      <c r="M153" s="2" t="s">
        <v>167</v>
      </c>
      <c r="N153" s="5">
        <v>4.5384615384615383</v>
      </c>
    </row>
    <row r="154" spans="5:14" x14ac:dyDescent="0.3">
      <c r="E154" s="2" t="s">
        <v>168</v>
      </c>
      <c r="F154" s="5">
        <v>35</v>
      </c>
      <c r="I154" s="2" t="s">
        <v>168</v>
      </c>
      <c r="J154" s="3">
        <v>36.085714285714289</v>
      </c>
      <c r="M154" s="2" t="s">
        <v>168</v>
      </c>
      <c r="N154" s="5">
        <v>4.5999999999999996</v>
      </c>
    </row>
    <row r="155" spans="5:14" x14ac:dyDescent="0.3">
      <c r="E155" s="2" t="s">
        <v>169</v>
      </c>
      <c r="F155" s="5">
        <v>39</v>
      </c>
      <c r="I155" s="2" t="s">
        <v>169</v>
      </c>
      <c r="J155" s="3">
        <v>33.512820512820511</v>
      </c>
      <c r="M155" s="2" t="s">
        <v>169</v>
      </c>
      <c r="N155" s="5">
        <v>5</v>
      </c>
    </row>
    <row r="156" spans="5:14" x14ac:dyDescent="0.3">
      <c r="E156" s="2" t="s">
        <v>170</v>
      </c>
      <c r="F156" s="5">
        <v>30</v>
      </c>
      <c r="I156" s="2" t="s">
        <v>170</v>
      </c>
      <c r="J156" s="3">
        <v>33.733333333333334</v>
      </c>
      <c r="M156" s="2" t="s">
        <v>170</v>
      </c>
      <c r="N156" s="5">
        <v>7</v>
      </c>
    </row>
    <row r="157" spans="5:14" x14ac:dyDescent="0.3">
      <c r="E157" s="2" t="s">
        <v>171</v>
      </c>
      <c r="F157" s="5">
        <v>43</v>
      </c>
      <c r="I157" s="2" t="s">
        <v>171</v>
      </c>
      <c r="J157" s="3">
        <v>34.279069767441861</v>
      </c>
      <c r="M157" s="2" t="s">
        <v>171</v>
      </c>
      <c r="N157" s="5">
        <v>4.7777777777777777</v>
      </c>
    </row>
    <row r="158" spans="5:14" x14ac:dyDescent="0.3">
      <c r="E158" s="2" t="s">
        <v>172</v>
      </c>
      <c r="F158" s="5">
        <v>27</v>
      </c>
      <c r="I158" s="2" t="s">
        <v>172</v>
      </c>
      <c r="J158" s="3">
        <v>36.222222222222221</v>
      </c>
      <c r="M158" s="2" t="s">
        <v>172</v>
      </c>
      <c r="N158" s="5">
        <v>5.2727272727272725</v>
      </c>
    </row>
    <row r="159" spans="5:14" x14ac:dyDescent="0.3">
      <c r="E159" s="2" t="s">
        <v>173</v>
      </c>
      <c r="F159" s="5">
        <v>42</v>
      </c>
      <c r="I159" s="2" t="s">
        <v>173</v>
      </c>
      <c r="J159" s="3">
        <v>35.904761904761905</v>
      </c>
      <c r="M159" s="2" t="s">
        <v>173</v>
      </c>
      <c r="N159" s="5">
        <v>4.2727272727272725</v>
      </c>
    </row>
    <row r="160" spans="5:14" x14ac:dyDescent="0.3">
      <c r="E160" s="2" t="s">
        <v>174</v>
      </c>
      <c r="F160" s="5">
        <v>32</v>
      </c>
      <c r="I160" s="2" t="s">
        <v>174</v>
      </c>
      <c r="J160" s="3">
        <v>32.53125</v>
      </c>
      <c r="M160" s="2" t="s">
        <v>174</v>
      </c>
      <c r="N160" s="5">
        <v>5</v>
      </c>
    </row>
    <row r="161" spans="5:14" x14ac:dyDescent="0.3">
      <c r="E161" s="2" t="s">
        <v>175</v>
      </c>
      <c r="F161" s="5">
        <v>32</v>
      </c>
      <c r="I161" s="2" t="s">
        <v>175</v>
      </c>
      <c r="J161" s="3">
        <v>33.84375</v>
      </c>
      <c r="M161" s="2" t="s">
        <v>175</v>
      </c>
      <c r="N161" s="5">
        <v>4.3571428571428568</v>
      </c>
    </row>
    <row r="162" spans="5:14" x14ac:dyDescent="0.3">
      <c r="E162" s="2" t="s">
        <v>176</v>
      </c>
      <c r="F162" s="5">
        <v>28</v>
      </c>
      <c r="I162" s="2" t="s">
        <v>176</v>
      </c>
      <c r="J162" s="3">
        <v>35.214285714285715</v>
      </c>
      <c r="M162" s="2" t="s">
        <v>176</v>
      </c>
      <c r="N162" s="5">
        <v>4.8571428571428568</v>
      </c>
    </row>
    <row r="163" spans="5:14" x14ac:dyDescent="0.3">
      <c r="E163" s="2" t="s">
        <v>177</v>
      </c>
      <c r="F163" s="5">
        <v>32</v>
      </c>
      <c r="I163" s="2" t="s">
        <v>177</v>
      </c>
      <c r="J163" s="3">
        <v>37.21875</v>
      </c>
      <c r="M163" s="2" t="s">
        <v>177</v>
      </c>
      <c r="N163" s="5">
        <v>5.125</v>
      </c>
    </row>
    <row r="164" spans="5:14" x14ac:dyDescent="0.3">
      <c r="E164" s="2" t="s">
        <v>178</v>
      </c>
      <c r="F164" s="5">
        <v>39</v>
      </c>
      <c r="I164" s="2" t="s">
        <v>178</v>
      </c>
      <c r="J164" s="3">
        <v>36.871794871794869</v>
      </c>
      <c r="M164" s="2" t="s">
        <v>178</v>
      </c>
      <c r="N164" s="5">
        <v>5</v>
      </c>
    </row>
    <row r="165" spans="5:14" x14ac:dyDescent="0.3">
      <c r="E165" s="2" t="s">
        <v>179</v>
      </c>
      <c r="F165" s="5">
        <v>40</v>
      </c>
      <c r="I165" s="2" t="s">
        <v>179</v>
      </c>
      <c r="J165" s="3">
        <v>36.450000000000003</v>
      </c>
      <c r="M165" s="2" t="s">
        <v>179</v>
      </c>
      <c r="N165" s="5">
        <v>5.2222222222222223</v>
      </c>
    </row>
    <row r="166" spans="5:14" x14ac:dyDescent="0.3">
      <c r="E166" s="2" t="s">
        <v>180</v>
      </c>
      <c r="F166" s="5">
        <v>31</v>
      </c>
      <c r="I166" s="2" t="s">
        <v>180</v>
      </c>
      <c r="J166" s="3">
        <v>32.935483870967744</v>
      </c>
      <c r="M166" s="2" t="s">
        <v>180</v>
      </c>
      <c r="N166" s="5">
        <v>4.2222222222222223</v>
      </c>
    </row>
    <row r="167" spans="5:14" x14ac:dyDescent="0.3">
      <c r="E167" s="2" t="s">
        <v>181</v>
      </c>
      <c r="F167" s="5">
        <v>34</v>
      </c>
      <c r="I167" s="2" t="s">
        <v>181</v>
      </c>
      <c r="J167" s="3">
        <v>41.323529411764703</v>
      </c>
      <c r="M167" s="2" t="s">
        <v>181</v>
      </c>
      <c r="N167" s="5">
        <v>4.8571428571428568</v>
      </c>
    </row>
    <row r="168" spans="5:14" x14ac:dyDescent="0.3">
      <c r="E168" s="2" t="s">
        <v>182</v>
      </c>
      <c r="F168" s="5">
        <v>37</v>
      </c>
      <c r="I168" s="2" t="s">
        <v>182</v>
      </c>
      <c r="J168" s="3">
        <v>34.432432432432435</v>
      </c>
      <c r="M168" s="2" t="s">
        <v>182</v>
      </c>
      <c r="N168" s="5">
        <v>3.8888888888888888</v>
      </c>
    </row>
    <row r="169" spans="5:14" x14ac:dyDescent="0.3">
      <c r="E169" s="2" t="s">
        <v>183</v>
      </c>
      <c r="F169" s="5">
        <v>30</v>
      </c>
      <c r="I169" s="2" t="s">
        <v>183</v>
      </c>
      <c r="J169" s="3">
        <v>36.966666666666669</v>
      </c>
      <c r="M169" s="2" t="s">
        <v>183</v>
      </c>
      <c r="N169" s="5">
        <v>4</v>
      </c>
    </row>
    <row r="170" spans="5:14" x14ac:dyDescent="0.3">
      <c r="E170" s="2" t="s">
        <v>184</v>
      </c>
      <c r="F170" s="5">
        <v>25</v>
      </c>
      <c r="I170" s="2" t="s">
        <v>184</v>
      </c>
      <c r="J170" s="3">
        <v>39.520000000000003</v>
      </c>
      <c r="M170" s="2" t="s">
        <v>184</v>
      </c>
      <c r="N170" s="5">
        <v>5</v>
      </c>
    </row>
    <row r="171" spans="5:14" x14ac:dyDescent="0.3">
      <c r="E171" s="2" t="s">
        <v>185</v>
      </c>
      <c r="F171" s="5">
        <v>38</v>
      </c>
      <c r="I171" s="2" t="s">
        <v>185</v>
      </c>
      <c r="J171" s="3">
        <v>36.026315789473685</v>
      </c>
      <c r="M171" s="2" t="s">
        <v>185</v>
      </c>
      <c r="N171" s="5">
        <v>5.7777777777777777</v>
      </c>
    </row>
    <row r="172" spans="5:14" x14ac:dyDescent="0.3">
      <c r="E172" s="2" t="s">
        <v>186</v>
      </c>
      <c r="F172" s="5">
        <v>27</v>
      </c>
      <c r="I172" s="2" t="s">
        <v>186</v>
      </c>
      <c r="J172" s="3">
        <v>32.370370370370374</v>
      </c>
      <c r="M172" s="2" t="s">
        <v>186</v>
      </c>
      <c r="N172" s="5">
        <v>2.6</v>
      </c>
    </row>
    <row r="173" spans="5:14" x14ac:dyDescent="0.3">
      <c r="E173" s="2" t="s">
        <v>187</v>
      </c>
      <c r="F173" s="5">
        <v>37</v>
      </c>
      <c r="I173" s="2" t="s">
        <v>187</v>
      </c>
      <c r="J173" s="3">
        <v>33.243243243243242</v>
      </c>
      <c r="M173" s="2" t="s">
        <v>187</v>
      </c>
      <c r="N173" s="5">
        <v>6.5</v>
      </c>
    </row>
    <row r="174" spans="5:14" x14ac:dyDescent="0.3">
      <c r="E174" s="2" t="s">
        <v>188</v>
      </c>
      <c r="F174" s="5">
        <v>33</v>
      </c>
      <c r="I174" s="2" t="s">
        <v>188</v>
      </c>
      <c r="J174" s="3">
        <v>33.575757575757578</v>
      </c>
      <c r="M174" s="2" t="s">
        <v>188</v>
      </c>
      <c r="N174" s="5">
        <v>3.8181818181818183</v>
      </c>
    </row>
    <row r="175" spans="5:14" x14ac:dyDescent="0.3">
      <c r="E175" s="2" t="s">
        <v>189</v>
      </c>
      <c r="F175" s="5">
        <v>23</v>
      </c>
      <c r="I175" s="2" t="s">
        <v>189</v>
      </c>
      <c r="J175" s="3">
        <v>31.130434782608695</v>
      </c>
      <c r="M175" s="2" t="s">
        <v>189</v>
      </c>
      <c r="N175" s="5">
        <v>4.4000000000000004</v>
      </c>
    </row>
    <row r="176" spans="5:14" x14ac:dyDescent="0.3">
      <c r="E176" s="2" t="s">
        <v>190</v>
      </c>
      <c r="F176" s="5">
        <v>27</v>
      </c>
      <c r="I176" s="2" t="s">
        <v>190</v>
      </c>
      <c r="J176" s="3">
        <v>36.888888888888886</v>
      </c>
      <c r="M176" s="2" t="s">
        <v>190</v>
      </c>
      <c r="N176" s="5">
        <v>4.5</v>
      </c>
    </row>
    <row r="177" spans="5:14" x14ac:dyDescent="0.3">
      <c r="E177" s="2" t="s">
        <v>191</v>
      </c>
      <c r="F177" s="5">
        <v>29</v>
      </c>
      <c r="I177" s="2" t="s">
        <v>191</v>
      </c>
      <c r="J177" s="3">
        <v>29.862068965517242</v>
      </c>
      <c r="M177" s="2" t="s">
        <v>191</v>
      </c>
      <c r="N177" s="5">
        <v>4.625</v>
      </c>
    </row>
    <row r="178" spans="5:14" x14ac:dyDescent="0.3">
      <c r="E178" s="2" t="s">
        <v>192</v>
      </c>
      <c r="F178" s="5">
        <v>38</v>
      </c>
      <c r="I178" s="2" t="s">
        <v>192</v>
      </c>
      <c r="J178" s="3">
        <v>36.526315789473685</v>
      </c>
      <c r="M178" s="2" t="s">
        <v>192</v>
      </c>
      <c r="N178" s="5">
        <v>4.5</v>
      </c>
    </row>
    <row r="179" spans="5:14" x14ac:dyDescent="0.3">
      <c r="E179" s="2" t="s">
        <v>193</v>
      </c>
      <c r="F179" s="5">
        <v>28</v>
      </c>
      <c r="I179" s="2" t="s">
        <v>193</v>
      </c>
      <c r="J179" s="3">
        <v>34.571428571428569</v>
      </c>
      <c r="M179" s="2" t="s">
        <v>193</v>
      </c>
      <c r="N179" s="5">
        <v>5.833333333333333</v>
      </c>
    </row>
    <row r="180" spans="5:14" x14ac:dyDescent="0.3">
      <c r="E180" s="2" t="s">
        <v>194</v>
      </c>
      <c r="F180" s="5">
        <v>36</v>
      </c>
      <c r="I180" s="2" t="s">
        <v>194</v>
      </c>
      <c r="J180" s="3">
        <v>38.5</v>
      </c>
      <c r="M180" s="2" t="s">
        <v>194</v>
      </c>
      <c r="N180" s="5">
        <v>4.666666666666667</v>
      </c>
    </row>
    <row r="181" spans="5:14" x14ac:dyDescent="0.3">
      <c r="E181" s="2" t="s">
        <v>195</v>
      </c>
      <c r="F181" s="5">
        <v>31</v>
      </c>
      <c r="I181" s="2" t="s">
        <v>195</v>
      </c>
      <c r="J181" s="3">
        <v>37.12903225806452</v>
      </c>
      <c r="M181" s="2" t="s">
        <v>195</v>
      </c>
      <c r="N181" s="5">
        <v>4.666666666666667</v>
      </c>
    </row>
    <row r="182" spans="5:14" x14ac:dyDescent="0.3">
      <c r="E182" s="2" t="s">
        <v>196</v>
      </c>
      <c r="F182" s="5">
        <v>34</v>
      </c>
      <c r="I182" s="2" t="s">
        <v>196</v>
      </c>
      <c r="J182" s="3">
        <v>33.852941176470587</v>
      </c>
      <c r="M182" s="2" t="s">
        <v>196</v>
      </c>
      <c r="N182" s="5">
        <v>6.75</v>
      </c>
    </row>
    <row r="183" spans="5:14" x14ac:dyDescent="0.3">
      <c r="E183" s="2" t="s">
        <v>197</v>
      </c>
      <c r="F183" s="5">
        <v>39</v>
      </c>
      <c r="I183" s="2" t="s">
        <v>197</v>
      </c>
      <c r="J183" s="3">
        <v>37.230769230769234</v>
      </c>
      <c r="M183" s="2" t="s">
        <v>197</v>
      </c>
      <c r="N183" s="5">
        <v>5.7</v>
      </c>
    </row>
    <row r="184" spans="5:14" x14ac:dyDescent="0.3">
      <c r="E184" s="2" t="s">
        <v>198</v>
      </c>
      <c r="F184" s="5">
        <v>40</v>
      </c>
      <c r="I184" s="2" t="s">
        <v>198</v>
      </c>
      <c r="J184" s="3">
        <v>36.075000000000003</v>
      </c>
      <c r="M184" s="2" t="s">
        <v>198</v>
      </c>
      <c r="N184" s="5">
        <v>5.5</v>
      </c>
    </row>
    <row r="185" spans="5:14" x14ac:dyDescent="0.3">
      <c r="E185" s="2" t="s">
        <v>199</v>
      </c>
      <c r="F185" s="5">
        <v>31</v>
      </c>
      <c r="I185" s="2" t="s">
        <v>199</v>
      </c>
      <c r="J185" s="3">
        <v>34.354838709677416</v>
      </c>
      <c r="M185" s="2" t="s">
        <v>199</v>
      </c>
      <c r="N185" s="5">
        <v>6.2222222222222223</v>
      </c>
    </row>
    <row r="186" spans="5:14" x14ac:dyDescent="0.3">
      <c r="E186" s="2" t="s">
        <v>200</v>
      </c>
      <c r="F186" s="5">
        <v>28</v>
      </c>
      <c r="I186" s="2" t="s">
        <v>200</v>
      </c>
      <c r="J186" s="3">
        <v>39.571428571428569</v>
      </c>
      <c r="M186" s="2" t="s">
        <v>200</v>
      </c>
      <c r="N186" s="5">
        <v>5.833333333333333</v>
      </c>
    </row>
    <row r="187" spans="5:14" x14ac:dyDescent="0.3">
      <c r="E187" s="2" t="s">
        <v>201</v>
      </c>
      <c r="F187" s="5">
        <v>32</v>
      </c>
      <c r="I187" s="2" t="s">
        <v>201</v>
      </c>
      <c r="J187" s="3">
        <v>37.53125</v>
      </c>
      <c r="M187" s="2" t="s">
        <v>201</v>
      </c>
      <c r="N187" s="5">
        <v>3.7</v>
      </c>
    </row>
    <row r="188" spans="5:14" x14ac:dyDescent="0.3">
      <c r="E188" s="2" t="s">
        <v>202</v>
      </c>
      <c r="F188" s="5">
        <v>28</v>
      </c>
      <c r="I188" s="2" t="s">
        <v>202</v>
      </c>
      <c r="J188" s="3">
        <v>31.357142857142858</v>
      </c>
      <c r="M188" s="2" t="s">
        <v>202</v>
      </c>
      <c r="N188" s="5">
        <v>5.8</v>
      </c>
    </row>
    <row r="189" spans="5:14" x14ac:dyDescent="0.3">
      <c r="E189" s="2" t="s">
        <v>203</v>
      </c>
      <c r="F189" s="5">
        <v>28</v>
      </c>
      <c r="I189" s="2" t="s">
        <v>203</v>
      </c>
      <c r="J189" s="3">
        <v>35.285714285714285</v>
      </c>
      <c r="M189" s="2" t="s">
        <v>203</v>
      </c>
      <c r="N189" s="5">
        <v>4</v>
      </c>
    </row>
    <row r="190" spans="5:14" x14ac:dyDescent="0.3">
      <c r="E190" s="2" t="s">
        <v>204</v>
      </c>
      <c r="F190" s="5">
        <v>25</v>
      </c>
      <c r="I190" s="2" t="s">
        <v>204</v>
      </c>
      <c r="J190" s="3">
        <v>34</v>
      </c>
      <c r="M190" s="2" t="s">
        <v>204</v>
      </c>
      <c r="N190" s="5">
        <v>2</v>
      </c>
    </row>
    <row r="191" spans="5:14" x14ac:dyDescent="0.3">
      <c r="E191" s="2" t="s">
        <v>205</v>
      </c>
      <c r="F191" s="5">
        <v>23</v>
      </c>
      <c r="I191" s="2" t="s">
        <v>205</v>
      </c>
      <c r="J191" s="3">
        <v>28.391304347826086</v>
      </c>
      <c r="M191" s="2" t="s">
        <v>205</v>
      </c>
      <c r="N191" s="5">
        <v>6</v>
      </c>
    </row>
    <row r="192" spans="5:14" x14ac:dyDescent="0.3">
      <c r="E192" s="2" t="s">
        <v>206</v>
      </c>
      <c r="F192" s="5">
        <v>22</v>
      </c>
      <c r="I192" s="2" t="s">
        <v>206</v>
      </c>
      <c r="J192" s="3">
        <v>36.545454545454547</v>
      </c>
      <c r="M192" s="2" t="s">
        <v>206</v>
      </c>
      <c r="N192" s="5">
        <v>5</v>
      </c>
    </row>
    <row r="193" spans="5:14" x14ac:dyDescent="0.3">
      <c r="E193" s="2" t="s">
        <v>207</v>
      </c>
      <c r="F193" s="5">
        <v>33</v>
      </c>
      <c r="I193" s="2" t="s">
        <v>207</v>
      </c>
      <c r="J193" s="3">
        <v>33.939393939393938</v>
      </c>
      <c r="M193" s="2" t="s">
        <v>207</v>
      </c>
      <c r="N193" s="5">
        <v>5.1111111111111107</v>
      </c>
    </row>
    <row r="194" spans="5:14" x14ac:dyDescent="0.3">
      <c r="E194" s="2" t="s">
        <v>208</v>
      </c>
      <c r="F194" s="5">
        <v>31</v>
      </c>
      <c r="I194" s="2" t="s">
        <v>208</v>
      </c>
      <c r="J194" s="3">
        <v>38.516129032258064</v>
      </c>
      <c r="M194" s="2" t="s">
        <v>208</v>
      </c>
      <c r="N194" s="5">
        <v>3.8571428571428572</v>
      </c>
    </row>
    <row r="195" spans="5:14" x14ac:dyDescent="0.3">
      <c r="E195" s="2" t="s">
        <v>209</v>
      </c>
      <c r="F195" s="5">
        <v>35</v>
      </c>
      <c r="I195" s="2" t="s">
        <v>209</v>
      </c>
      <c r="J195" s="3">
        <v>34.74285714285714</v>
      </c>
      <c r="M195" s="2" t="s">
        <v>209</v>
      </c>
      <c r="N195" s="5">
        <v>6.5714285714285712</v>
      </c>
    </row>
    <row r="196" spans="5:14" x14ac:dyDescent="0.3">
      <c r="E196" s="2" t="s">
        <v>210</v>
      </c>
      <c r="F196" s="5">
        <v>30</v>
      </c>
      <c r="I196" s="2" t="s">
        <v>210</v>
      </c>
      <c r="J196" s="3">
        <v>34.5</v>
      </c>
      <c r="M196" s="2" t="s">
        <v>210</v>
      </c>
      <c r="N196" s="5">
        <v>5.2857142857142856</v>
      </c>
    </row>
    <row r="197" spans="5:14" x14ac:dyDescent="0.3">
      <c r="E197" s="2" t="s">
        <v>211</v>
      </c>
      <c r="F197" s="5">
        <v>32</v>
      </c>
      <c r="I197" s="2" t="s">
        <v>211</v>
      </c>
      <c r="J197" s="3">
        <v>31.65625</v>
      </c>
      <c r="M197" s="2" t="s">
        <v>211</v>
      </c>
      <c r="N197" s="5">
        <v>5.5</v>
      </c>
    </row>
    <row r="198" spans="5:14" x14ac:dyDescent="0.3">
      <c r="E198" s="2" t="s">
        <v>212</v>
      </c>
      <c r="F198" s="5">
        <v>39</v>
      </c>
      <c r="I198" s="2" t="s">
        <v>212</v>
      </c>
      <c r="J198" s="3">
        <v>37.384615384615387</v>
      </c>
      <c r="M198" s="2" t="s">
        <v>212</v>
      </c>
      <c r="N198" s="5">
        <v>4.8181818181818183</v>
      </c>
    </row>
    <row r="199" spans="5:14" x14ac:dyDescent="0.3">
      <c r="E199" s="2" t="s">
        <v>213</v>
      </c>
      <c r="F199" s="5">
        <v>39</v>
      </c>
      <c r="I199" s="2" t="s">
        <v>213</v>
      </c>
      <c r="J199" s="3">
        <v>36.205128205128204</v>
      </c>
      <c r="M199" s="2" t="s">
        <v>213</v>
      </c>
      <c r="N199" s="5">
        <v>5</v>
      </c>
    </row>
    <row r="200" spans="5:14" x14ac:dyDescent="0.3">
      <c r="E200" s="2" t="s">
        <v>214</v>
      </c>
      <c r="F200" s="5">
        <v>30</v>
      </c>
      <c r="I200" s="2" t="s">
        <v>214</v>
      </c>
      <c r="J200" s="3">
        <v>35.6</v>
      </c>
      <c r="M200" s="2" t="s">
        <v>214</v>
      </c>
      <c r="N200" s="5">
        <v>3.2222222222222223</v>
      </c>
    </row>
    <row r="201" spans="5:14" x14ac:dyDescent="0.3">
      <c r="E201" s="2" t="s">
        <v>215</v>
      </c>
      <c r="F201" s="5">
        <v>29</v>
      </c>
      <c r="I201" s="2" t="s">
        <v>215</v>
      </c>
      <c r="J201" s="3">
        <v>31.068965517241381</v>
      </c>
      <c r="M201" s="2" t="s">
        <v>215</v>
      </c>
      <c r="N201" s="5">
        <v>6.333333333333333</v>
      </c>
    </row>
    <row r="202" spans="5:14" x14ac:dyDescent="0.3">
      <c r="E202" s="2" t="s">
        <v>216</v>
      </c>
      <c r="F202" s="5">
        <v>34</v>
      </c>
      <c r="I202" s="2" t="s">
        <v>216</v>
      </c>
      <c r="J202" s="3">
        <v>33</v>
      </c>
      <c r="M202" s="2" t="s">
        <v>216</v>
      </c>
      <c r="N202" s="5">
        <v>3.8</v>
      </c>
    </row>
    <row r="203" spans="5:14" x14ac:dyDescent="0.3">
      <c r="E203" s="2" t="s">
        <v>217</v>
      </c>
      <c r="F203" s="5">
        <v>30</v>
      </c>
      <c r="I203" s="2" t="s">
        <v>217</v>
      </c>
      <c r="J203" s="3">
        <v>36.233333333333334</v>
      </c>
      <c r="M203" s="2" t="s">
        <v>217</v>
      </c>
      <c r="N203" s="5">
        <v>3.1111111111111112</v>
      </c>
    </row>
    <row r="204" spans="5:14" x14ac:dyDescent="0.3">
      <c r="E204" s="2" t="s">
        <v>218</v>
      </c>
      <c r="F204" s="5">
        <v>28</v>
      </c>
      <c r="I204" s="2" t="s">
        <v>218</v>
      </c>
      <c r="J204" s="3">
        <v>37.142857142857146</v>
      </c>
      <c r="M204" s="2" t="s">
        <v>218</v>
      </c>
      <c r="N204" s="5">
        <v>2.8333333333333335</v>
      </c>
    </row>
    <row r="205" spans="5:14" x14ac:dyDescent="0.3">
      <c r="E205" s="2" t="s">
        <v>219</v>
      </c>
      <c r="F205" s="5">
        <v>33</v>
      </c>
      <c r="I205" s="2" t="s">
        <v>219</v>
      </c>
      <c r="J205" s="3">
        <v>34.666666666666664</v>
      </c>
      <c r="M205" s="2" t="s">
        <v>219</v>
      </c>
      <c r="N205" s="5">
        <v>6.625</v>
      </c>
    </row>
    <row r="206" spans="5:14" x14ac:dyDescent="0.3">
      <c r="E206" s="2" t="s">
        <v>220</v>
      </c>
      <c r="F206" s="5">
        <v>30</v>
      </c>
      <c r="I206" s="2" t="s">
        <v>220</v>
      </c>
      <c r="J206" s="3">
        <v>36.033333333333331</v>
      </c>
      <c r="M206" s="2" t="s">
        <v>220</v>
      </c>
      <c r="N206" s="5">
        <v>3.5</v>
      </c>
    </row>
    <row r="207" spans="5:14" x14ac:dyDescent="0.3">
      <c r="E207" s="2" t="s">
        <v>221</v>
      </c>
      <c r="F207" s="5">
        <v>31</v>
      </c>
      <c r="I207" s="2" t="s">
        <v>221</v>
      </c>
      <c r="J207" s="3">
        <v>33.838709677419352</v>
      </c>
      <c r="M207" s="2" t="s">
        <v>221</v>
      </c>
      <c r="N207" s="5">
        <v>5.166666666666667</v>
      </c>
    </row>
    <row r="208" spans="5:14" x14ac:dyDescent="0.3">
      <c r="E208" s="2" t="s">
        <v>222</v>
      </c>
      <c r="F208" s="5">
        <v>27</v>
      </c>
      <c r="I208" s="2" t="s">
        <v>222</v>
      </c>
      <c r="J208" s="3">
        <v>34.592592592592595</v>
      </c>
      <c r="M208" s="2" t="s">
        <v>222</v>
      </c>
      <c r="N208" s="5">
        <v>5.333333333333333</v>
      </c>
    </row>
    <row r="209" spans="5:14" x14ac:dyDescent="0.3">
      <c r="E209" s="2" t="s">
        <v>223</v>
      </c>
      <c r="F209" s="5">
        <v>32</v>
      </c>
      <c r="I209" s="2" t="s">
        <v>223</v>
      </c>
      <c r="J209" s="3">
        <v>34.4375</v>
      </c>
      <c r="M209" s="2" t="s">
        <v>223</v>
      </c>
      <c r="N209" s="5">
        <v>4.875</v>
      </c>
    </row>
    <row r="210" spans="5:14" x14ac:dyDescent="0.3">
      <c r="E210" s="2" t="s">
        <v>224</v>
      </c>
      <c r="F210" s="5">
        <v>29</v>
      </c>
      <c r="I210" s="2" t="s">
        <v>224</v>
      </c>
      <c r="J210" s="3">
        <v>36.172413793103445</v>
      </c>
      <c r="M210" s="2" t="s">
        <v>224</v>
      </c>
      <c r="N210" s="5">
        <v>4.5</v>
      </c>
    </row>
    <row r="211" spans="5:14" x14ac:dyDescent="0.3">
      <c r="E211" s="2" t="s">
        <v>225</v>
      </c>
      <c r="F211" s="5">
        <v>29</v>
      </c>
      <c r="I211" s="2" t="s">
        <v>225</v>
      </c>
      <c r="J211" s="3">
        <v>34.758620689655174</v>
      </c>
      <c r="M211" s="2" t="s">
        <v>225</v>
      </c>
      <c r="N211" s="5">
        <v>4.625</v>
      </c>
    </row>
    <row r="212" spans="5:14" x14ac:dyDescent="0.3">
      <c r="E212" s="2" t="s">
        <v>226</v>
      </c>
      <c r="F212" s="5">
        <v>29</v>
      </c>
      <c r="I212" s="2" t="s">
        <v>226</v>
      </c>
      <c r="J212" s="3">
        <v>37.241379310344826</v>
      </c>
      <c r="M212" s="2" t="s">
        <v>226</v>
      </c>
      <c r="N212" s="5">
        <v>5</v>
      </c>
    </row>
    <row r="213" spans="5:14" x14ac:dyDescent="0.3">
      <c r="E213" s="2" t="s">
        <v>227</v>
      </c>
      <c r="F213" s="5">
        <v>30</v>
      </c>
      <c r="I213" s="2" t="s">
        <v>227</v>
      </c>
      <c r="J213" s="3">
        <v>33.9</v>
      </c>
      <c r="M213" s="2" t="s">
        <v>227</v>
      </c>
      <c r="N213" s="5">
        <v>6.8181818181818183</v>
      </c>
    </row>
    <row r="214" spans="5:14" x14ac:dyDescent="0.3">
      <c r="E214" s="2" t="s">
        <v>228</v>
      </c>
      <c r="F214" s="5">
        <v>32</v>
      </c>
      <c r="I214" s="2" t="s">
        <v>228</v>
      </c>
      <c r="J214" s="3">
        <v>35.4375</v>
      </c>
      <c r="M214" s="2" t="s">
        <v>228</v>
      </c>
      <c r="N214" s="5">
        <v>6.375</v>
      </c>
    </row>
    <row r="215" spans="5:14" x14ac:dyDescent="0.3">
      <c r="E215" s="2" t="s">
        <v>229</v>
      </c>
      <c r="F215" s="5">
        <v>39</v>
      </c>
      <c r="I215" s="2" t="s">
        <v>229</v>
      </c>
      <c r="J215" s="3">
        <v>36.820512820512818</v>
      </c>
      <c r="M215" s="2" t="s">
        <v>229</v>
      </c>
      <c r="N215" s="5">
        <v>4.615384615384615</v>
      </c>
    </row>
    <row r="216" spans="5:14" x14ac:dyDescent="0.3">
      <c r="E216" s="2" t="s">
        <v>230</v>
      </c>
      <c r="F216" s="5">
        <v>32</v>
      </c>
      <c r="I216" s="2" t="s">
        <v>230</v>
      </c>
      <c r="J216" s="3">
        <v>31.3125</v>
      </c>
      <c r="M216" s="2" t="s">
        <v>230</v>
      </c>
      <c r="N216" s="5">
        <v>5.5454545454545459</v>
      </c>
    </row>
    <row r="217" spans="5:14" x14ac:dyDescent="0.3">
      <c r="E217" s="2" t="s">
        <v>231</v>
      </c>
      <c r="F217" s="5">
        <v>31</v>
      </c>
      <c r="I217" s="2" t="s">
        <v>231</v>
      </c>
      <c r="J217" s="3">
        <v>39.064516129032256</v>
      </c>
      <c r="M217" s="2" t="s">
        <v>231</v>
      </c>
      <c r="N217" s="5">
        <v>6.9090909090909092</v>
      </c>
    </row>
    <row r="218" spans="5:14" x14ac:dyDescent="0.3">
      <c r="E218" s="2" t="s">
        <v>232</v>
      </c>
      <c r="F218" s="5">
        <v>42</v>
      </c>
      <c r="I218" s="2" t="s">
        <v>232</v>
      </c>
      <c r="J218" s="3">
        <v>35.428571428571431</v>
      </c>
      <c r="M218" s="2" t="s">
        <v>232</v>
      </c>
      <c r="N218" s="5">
        <v>5.2</v>
      </c>
    </row>
    <row r="219" spans="5:14" x14ac:dyDescent="0.3">
      <c r="E219" s="2" t="s">
        <v>233</v>
      </c>
      <c r="F219" s="5">
        <v>34</v>
      </c>
      <c r="I219" s="2" t="s">
        <v>233</v>
      </c>
      <c r="J219" s="3">
        <v>34.794117647058826</v>
      </c>
      <c r="M219" s="2" t="s">
        <v>233</v>
      </c>
      <c r="N219" s="5">
        <v>4.4444444444444446</v>
      </c>
    </row>
    <row r="220" spans="5:14" x14ac:dyDescent="0.3">
      <c r="E220" s="2" t="s">
        <v>234</v>
      </c>
      <c r="F220" s="5">
        <v>31</v>
      </c>
      <c r="I220" s="2" t="s">
        <v>234</v>
      </c>
      <c r="J220" s="3">
        <v>37.032258064516128</v>
      </c>
      <c r="M220" s="2" t="s">
        <v>234</v>
      </c>
      <c r="N220" s="5">
        <v>6.2727272727272725</v>
      </c>
    </row>
    <row r="221" spans="5:14" x14ac:dyDescent="0.3">
      <c r="E221" s="2" t="s">
        <v>235</v>
      </c>
      <c r="F221" s="5">
        <v>29</v>
      </c>
      <c r="I221" s="2" t="s">
        <v>235</v>
      </c>
      <c r="J221" s="3">
        <v>39.862068965517238</v>
      </c>
      <c r="M221" s="2" t="s">
        <v>235</v>
      </c>
      <c r="N221" s="5">
        <v>4.5999999999999996</v>
      </c>
    </row>
    <row r="222" spans="5:14" x14ac:dyDescent="0.3">
      <c r="E222" s="2" t="s">
        <v>236</v>
      </c>
      <c r="F222" s="5">
        <v>42</v>
      </c>
      <c r="I222" s="2" t="s">
        <v>236</v>
      </c>
      <c r="J222" s="3">
        <v>36.166666666666664</v>
      </c>
      <c r="M222" s="2" t="s">
        <v>236</v>
      </c>
      <c r="N222" s="5">
        <v>5.5</v>
      </c>
    </row>
    <row r="223" spans="5:14" x14ac:dyDescent="0.3">
      <c r="E223" s="2" t="s">
        <v>237</v>
      </c>
      <c r="F223" s="5">
        <v>22</v>
      </c>
      <c r="I223" s="2" t="s">
        <v>237</v>
      </c>
      <c r="J223" s="3">
        <v>30.40909090909091</v>
      </c>
      <c r="M223" s="2" t="s">
        <v>237</v>
      </c>
      <c r="N223" s="5">
        <v>5.4285714285714288</v>
      </c>
    </row>
    <row r="224" spans="5:14" x14ac:dyDescent="0.3">
      <c r="E224" s="2" t="s">
        <v>238</v>
      </c>
      <c r="F224" s="5">
        <v>28</v>
      </c>
      <c r="I224" s="2" t="s">
        <v>238</v>
      </c>
      <c r="J224" s="3">
        <v>40</v>
      </c>
      <c r="M224" s="2" t="s">
        <v>238</v>
      </c>
      <c r="N224" s="5">
        <v>9.5</v>
      </c>
    </row>
    <row r="225" spans="5:14" x14ac:dyDescent="0.3">
      <c r="E225" s="2" t="s">
        <v>239</v>
      </c>
      <c r="F225" s="5">
        <v>31</v>
      </c>
      <c r="I225" s="2" t="s">
        <v>239</v>
      </c>
      <c r="J225" s="3">
        <v>31.677419354838708</v>
      </c>
      <c r="M225" s="2" t="s">
        <v>239</v>
      </c>
      <c r="N225" s="5">
        <v>2.1666666666666665</v>
      </c>
    </row>
    <row r="226" spans="5:14" x14ac:dyDescent="0.3">
      <c r="E226" s="2" t="s">
        <v>240</v>
      </c>
      <c r="F226" s="5">
        <v>24</v>
      </c>
      <c r="I226" s="2" t="s">
        <v>240</v>
      </c>
      <c r="J226" s="3">
        <v>29.791666666666668</v>
      </c>
      <c r="M226" s="2" t="s">
        <v>240</v>
      </c>
      <c r="N226" s="5">
        <v>5.333333333333333</v>
      </c>
    </row>
    <row r="227" spans="5:14" x14ac:dyDescent="0.3">
      <c r="E227" s="2" t="s">
        <v>241</v>
      </c>
      <c r="F227" s="5">
        <v>48</v>
      </c>
      <c r="I227" s="2" t="s">
        <v>241</v>
      </c>
      <c r="J227" s="3">
        <v>36.833333333333336</v>
      </c>
      <c r="M227" s="2" t="s">
        <v>241</v>
      </c>
      <c r="N227" s="5">
        <v>4.1428571428571432</v>
      </c>
    </row>
    <row r="228" spans="5:14" x14ac:dyDescent="0.3">
      <c r="E228" s="2" t="s">
        <v>242</v>
      </c>
      <c r="F228" s="5">
        <v>32</v>
      </c>
      <c r="I228" s="2" t="s">
        <v>242</v>
      </c>
      <c r="J228" s="3">
        <v>33.96875</v>
      </c>
      <c r="M228" s="2" t="s">
        <v>242</v>
      </c>
      <c r="N228" s="5">
        <v>2.75</v>
      </c>
    </row>
    <row r="229" spans="5:14" x14ac:dyDescent="0.3">
      <c r="E229" s="2" t="s">
        <v>243</v>
      </c>
      <c r="F229" s="5">
        <v>37</v>
      </c>
      <c r="I229" s="2" t="s">
        <v>243</v>
      </c>
      <c r="J229" s="3">
        <v>35.864864864864863</v>
      </c>
      <c r="M229" s="2" t="s">
        <v>243</v>
      </c>
      <c r="N229" s="5">
        <v>4.4000000000000004</v>
      </c>
    </row>
    <row r="230" spans="5:14" x14ac:dyDescent="0.3">
      <c r="E230" s="2" t="s">
        <v>244</v>
      </c>
      <c r="F230" s="5">
        <v>30</v>
      </c>
      <c r="I230" s="2" t="s">
        <v>244</v>
      </c>
      <c r="J230" s="3">
        <v>37.833333333333336</v>
      </c>
      <c r="M230" s="2" t="s">
        <v>244</v>
      </c>
      <c r="N230" s="5">
        <v>5.5</v>
      </c>
    </row>
    <row r="231" spans="5:14" x14ac:dyDescent="0.3">
      <c r="E231" s="2" t="s">
        <v>245</v>
      </c>
      <c r="F231" s="5">
        <v>27</v>
      </c>
      <c r="I231" s="2" t="s">
        <v>245</v>
      </c>
      <c r="J231" s="3">
        <v>36.296296296296298</v>
      </c>
      <c r="M231" s="2" t="s">
        <v>245</v>
      </c>
      <c r="N231" s="5">
        <v>6.4</v>
      </c>
    </row>
    <row r="232" spans="5:14" x14ac:dyDescent="0.3">
      <c r="E232" s="2" t="s">
        <v>246</v>
      </c>
      <c r="F232" s="5">
        <v>32</v>
      </c>
      <c r="I232" s="2" t="s">
        <v>246</v>
      </c>
      <c r="J232" s="3">
        <v>36.375</v>
      </c>
      <c r="M232" s="2" t="s">
        <v>246</v>
      </c>
      <c r="N232" s="5">
        <v>5.25</v>
      </c>
    </row>
    <row r="233" spans="5:14" x14ac:dyDescent="0.3">
      <c r="E233" s="2" t="s">
        <v>247</v>
      </c>
      <c r="F233" s="5">
        <v>33</v>
      </c>
      <c r="I233" s="2" t="s">
        <v>247</v>
      </c>
      <c r="J233" s="3">
        <v>36</v>
      </c>
      <c r="M233" s="2" t="s">
        <v>247</v>
      </c>
      <c r="N233" s="5">
        <v>6</v>
      </c>
    </row>
    <row r="234" spans="5:14" x14ac:dyDescent="0.3">
      <c r="E234" s="2" t="s">
        <v>248</v>
      </c>
      <c r="F234" s="5">
        <v>37</v>
      </c>
      <c r="I234" s="2" t="s">
        <v>248</v>
      </c>
      <c r="J234" s="3">
        <v>37.189189189189186</v>
      </c>
      <c r="M234" s="2" t="s">
        <v>248</v>
      </c>
      <c r="N234" s="5">
        <v>5.1428571428571432</v>
      </c>
    </row>
    <row r="235" spans="5:14" x14ac:dyDescent="0.3">
      <c r="E235" s="2" t="s">
        <v>249</v>
      </c>
      <c r="F235" s="5">
        <v>33</v>
      </c>
      <c r="I235" s="2" t="s">
        <v>249</v>
      </c>
      <c r="J235" s="3">
        <v>34.666666666666664</v>
      </c>
      <c r="M235" s="2" t="s">
        <v>249</v>
      </c>
      <c r="N235" s="5">
        <v>5.25</v>
      </c>
    </row>
    <row r="236" spans="5:14" x14ac:dyDescent="0.3">
      <c r="E236" s="2" t="s">
        <v>250</v>
      </c>
      <c r="F236" s="5">
        <v>35</v>
      </c>
      <c r="I236" s="2" t="s">
        <v>250</v>
      </c>
      <c r="J236" s="3">
        <v>33</v>
      </c>
      <c r="M236" s="2" t="s">
        <v>250</v>
      </c>
      <c r="N236" s="5">
        <v>6</v>
      </c>
    </row>
    <row r="237" spans="5:14" x14ac:dyDescent="0.3">
      <c r="E237" s="2" t="s">
        <v>251</v>
      </c>
      <c r="F237" s="5">
        <v>45</v>
      </c>
      <c r="I237" s="2" t="s">
        <v>251</v>
      </c>
      <c r="J237" s="3">
        <v>39.777777777777779</v>
      </c>
      <c r="M237" s="2" t="s">
        <v>251</v>
      </c>
      <c r="N237" s="5">
        <v>5.4375</v>
      </c>
    </row>
    <row r="238" spans="5:14" x14ac:dyDescent="0.3">
      <c r="E238" s="2" t="s">
        <v>252</v>
      </c>
      <c r="F238" s="5">
        <v>26</v>
      </c>
      <c r="I238" s="2" t="s">
        <v>252</v>
      </c>
      <c r="J238" s="3">
        <v>33.57692307692308</v>
      </c>
      <c r="M238" s="2" t="s">
        <v>252</v>
      </c>
      <c r="N238" s="5">
        <v>4.5</v>
      </c>
    </row>
    <row r="239" spans="5:14" x14ac:dyDescent="0.3">
      <c r="E239" s="2" t="s">
        <v>253</v>
      </c>
      <c r="F239" s="5">
        <v>24</v>
      </c>
      <c r="I239" s="2" t="s">
        <v>253</v>
      </c>
      <c r="J239" s="3">
        <v>37.208333333333336</v>
      </c>
      <c r="M239" s="2" t="s">
        <v>253</v>
      </c>
      <c r="N239" s="5">
        <v>4.7142857142857144</v>
      </c>
    </row>
    <row r="240" spans="5:14" x14ac:dyDescent="0.3">
      <c r="E240" s="2" t="s">
        <v>254</v>
      </c>
      <c r="F240" s="5">
        <v>34</v>
      </c>
      <c r="I240" s="2" t="s">
        <v>254</v>
      </c>
      <c r="J240" s="3">
        <v>36.882352941176471</v>
      </c>
      <c r="M240" s="2" t="s">
        <v>254</v>
      </c>
      <c r="N240" s="5">
        <v>7.375</v>
      </c>
    </row>
    <row r="241" spans="5:14" x14ac:dyDescent="0.3">
      <c r="E241" s="2" t="s">
        <v>255</v>
      </c>
      <c r="F241" s="5">
        <v>31</v>
      </c>
      <c r="I241" s="2" t="s">
        <v>255</v>
      </c>
      <c r="J241" s="3">
        <v>37.612903225806448</v>
      </c>
      <c r="M241" s="2" t="s">
        <v>255</v>
      </c>
      <c r="N241" s="5">
        <v>4.1428571428571432</v>
      </c>
    </row>
    <row r="242" spans="5:14" x14ac:dyDescent="0.3">
      <c r="E242" s="2" t="s">
        <v>256</v>
      </c>
      <c r="F242" s="5">
        <v>42</v>
      </c>
      <c r="I242" s="2" t="s">
        <v>256</v>
      </c>
      <c r="J242" s="3">
        <v>33.357142857142854</v>
      </c>
      <c r="M242" s="2" t="s">
        <v>256</v>
      </c>
      <c r="N242" s="5">
        <v>5.2222222222222223</v>
      </c>
    </row>
    <row r="243" spans="5:14" x14ac:dyDescent="0.3">
      <c r="E243" s="2" t="s">
        <v>257</v>
      </c>
      <c r="F243" s="5">
        <v>31</v>
      </c>
      <c r="I243" s="2" t="s">
        <v>257</v>
      </c>
      <c r="J243" s="3">
        <v>33.967741935483872</v>
      </c>
      <c r="M243" s="2" t="s">
        <v>257</v>
      </c>
      <c r="N243" s="5">
        <v>3.375</v>
      </c>
    </row>
    <row r="244" spans="5:14" x14ac:dyDescent="0.3">
      <c r="E244" s="2" t="s">
        <v>258</v>
      </c>
      <c r="F244" s="5">
        <v>34</v>
      </c>
      <c r="I244" s="2" t="s">
        <v>258</v>
      </c>
      <c r="J244" s="3">
        <v>36.5</v>
      </c>
      <c r="M244" s="2" t="s">
        <v>258</v>
      </c>
      <c r="N244" s="5">
        <v>6</v>
      </c>
    </row>
    <row r="245" spans="5:14" x14ac:dyDescent="0.3">
      <c r="E245" s="2" t="s">
        <v>259</v>
      </c>
      <c r="F245" s="5">
        <v>38</v>
      </c>
      <c r="I245" s="2" t="s">
        <v>259</v>
      </c>
      <c r="J245" s="3">
        <v>35.55263157894737</v>
      </c>
      <c r="M245" s="2" t="s">
        <v>259</v>
      </c>
      <c r="N245" s="5">
        <v>5.6</v>
      </c>
    </row>
    <row r="246" spans="5:14" x14ac:dyDescent="0.3">
      <c r="E246" s="2" t="s">
        <v>260</v>
      </c>
      <c r="F246" s="5">
        <v>39</v>
      </c>
      <c r="I246" s="2" t="s">
        <v>260</v>
      </c>
      <c r="J246" s="3">
        <v>33.051282051282051</v>
      </c>
      <c r="M246" s="2" t="s">
        <v>260</v>
      </c>
      <c r="N246" s="5">
        <v>3.75</v>
      </c>
    </row>
    <row r="247" spans="5:14" x14ac:dyDescent="0.3">
      <c r="E247" s="2" t="s">
        <v>261</v>
      </c>
      <c r="F247" s="5">
        <v>25</v>
      </c>
      <c r="I247" s="2" t="s">
        <v>261</v>
      </c>
      <c r="J247" s="3">
        <v>36.68</v>
      </c>
      <c r="M247" s="2" t="s">
        <v>261</v>
      </c>
      <c r="N247" s="5">
        <v>4.8571428571428568</v>
      </c>
    </row>
    <row r="248" spans="5:14" x14ac:dyDescent="0.3">
      <c r="E248" s="2" t="s">
        <v>262</v>
      </c>
      <c r="F248" s="5">
        <v>28</v>
      </c>
      <c r="I248" s="2" t="s">
        <v>262</v>
      </c>
      <c r="J248" s="3">
        <v>37.714285714285715</v>
      </c>
      <c r="M248" s="2" t="s">
        <v>262</v>
      </c>
      <c r="N248" s="5">
        <v>5.5</v>
      </c>
    </row>
    <row r="249" spans="5:14" x14ac:dyDescent="0.3">
      <c r="E249" s="2" t="s">
        <v>263</v>
      </c>
      <c r="F249" s="5">
        <v>35</v>
      </c>
      <c r="I249" s="2" t="s">
        <v>263</v>
      </c>
      <c r="J249" s="3">
        <v>36.057142857142857</v>
      </c>
      <c r="M249" s="2" t="s">
        <v>263</v>
      </c>
      <c r="N249" s="5">
        <v>4</v>
      </c>
    </row>
    <row r="250" spans="5:14" x14ac:dyDescent="0.3">
      <c r="E250" s="2" t="s">
        <v>264</v>
      </c>
      <c r="F250" s="5">
        <v>35</v>
      </c>
      <c r="I250" s="2" t="s">
        <v>264</v>
      </c>
      <c r="J250" s="3">
        <v>35.828571428571429</v>
      </c>
      <c r="M250" s="2" t="s">
        <v>264</v>
      </c>
      <c r="N250" s="5">
        <v>4.625</v>
      </c>
    </row>
    <row r="251" spans="5:14" x14ac:dyDescent="0.3">
      <c r="E251" s="2" t="s">
        <v>265</v>
      </c>
      <c r="F251" s="5">
        <v>37</v>
      </c>
      <c r="I251" s="2" t="s">
        <v>265</v>
      </c>
      <c r="J251" s="3">
        <v>35.297297297297298</v>
      </c>
      <c r="M251" s="2" t="s">
        <v>265</v>
      </c>
      <c r="N251" s="5">
        <v>3.75</v>
      </c>
    </row>
    <row r="252" spans="5:14" x14ac:dyDescent="0.3">
      <c r="E252" s="2" t="s">
        <v>266</v>
      </c>
      <c r="F252" s="5">
        <v>31</v>
      </c>
      <c r="I252" s="2" t="s">
        <v>266</v>
      </c>
      <c r="J252" s="3">
        <v>33</v>
      </c>
      <c r="M252" s="2" t="s">
        <v>266</v>
      </c>
      <c r="N252" s="5">
        <v>6.333333333333333</v>
      </c>
    </row>
    <row r="253" spans="5:14" x14ac:dyDescent="0.3">
      <c r="E253" s="2" t="s">
        <v>267</v>
      </c>
      <c r="F253" s="5">
        <v>24</v>
      </c>
      <c r="I253" s="2" t="s">
        <v>267</v>
      </c>
      <c r="J253" s="3">
        <v>38.958333333333336</v>
      </c>
      <c r="M253" s="2" t="s">
        <v>267</v>
      </c>
      <c r="N253" s="5">
        <v>6.4</v>
      </c>
    </row>
    <row r="254" spans="5:14" x14ac:dyDescent="0.3">
      <c r="E254" s="2" t="s">
        <v>268</v>
      </c>
      <c r="F254" s="5">
        <v>28</v>
      </c>
      <c r="I254" s="2" t="s">
        <v>268</v>
      </c>
      <c r="J254" s="3">
        <v>37.428571428571431</v>
      </c>
      <c r="M254" s="2" t="s">
        <v>268</v>
      </c>
      <c r="N254" s="5">
        <v>5.0999999999999996</v>
      </c>
    </row>
    <row r="255" spans="5:14" x14ac:dyDescent="0.3">
      <c r="E255" s="2" t="s">
        <v>269</v>
      </c>
      <c r="F255" s="5">
        <v>29</v>
      </c>
      <c r="I255" s="2" t="s">
        <v>269</v>
      </c>
      <c r="J255" s="3">
        <v>36.068965517241381</v>
      </c>
      <c r="M255" s="2" t="s">
        <v>269</v>
      </c>
      <c r="N255" s="5">
        <v>4.1428571428571432</v>
      </c>
    </row>
    <row r="256" spans="5:14" x14ac:dyDescent="0.3">
      <c r="E256" s="2" t="s">
        <v>270</v>
      </c>
      <c r="F256" s="5">
        <v>34</v>
      </c>
      <c r="I256" s="2" t="s">
        <v>270</v>
      </c>
      <c r="J256" s="3">
        <v>32.235294117647058</v>
      </c>
      <c r="M256" s="2" t="s">
        <v>270</v>
      </c>
      <c r="N256" s="5">
        <v>5.8</v>
      </c>
    </row>
    <row r="257" spans="5:14" x14ac:dyDescent="0.3">
      <c r="E257" s="2" t="s">
        <v>271</v>
      </c>
      <c r="F257" s="5">
        <v>32</v>
      </c>
      <c r="I257" s="2" t="s">
        <v>271</v>
      </c>
      <c r="J257" s="3">
        <v>37.71875</v>
      </c>
      <c r="M257" s="2" t="s">
        <v>271</v>
      </c>
      <c r="N257" s="5">
        <v>3.8333333333333335</v>
      </c>
    </row>
    <row r="258" spans="5:14" x14ac:dyDescent="0.3">
      <c r="E258" s="2" t="s">
        <v>272</v>
      </c>
      <c r="F258" s="5">
        <v>29</v>
      </c>
      <c r="I258" s="2" t="s">
        <v>272</v>
      </c>
      <c r="J258" s="3">
        <v>31.275862068965516</v>
      </c>
      <c r="M258" s="2" t="s">
        <v>272</v>
      </c>
      <c r="N258" s="5">
        <v>4</v>
      </c>
    </row>
    <row r="259" spans="5:14" x14ac:dyDescent="0.3">
      <c r="E259" s="2" t="s">
        <v>273</v>
      </c>
      <c r="F259" s="5">
        <v>21</v>
      </c>
      <c r="I259" s="2" t="s">
        <v>273</v>
      </c>
      <c r="J259" s="3">
        <v>35.857142857142854</v>
      </c>
      <c r="M259" s="2" t="s">
        <v>273</v>
      </c>
      <c r="N259" s="5">
        <v>6.833333333333333</v>
      </c>
    </row>
    <row r="260" spans="5:14" x14ac:dyDescent="0.3">
      <c r="E260" s="2" t="s">
        <v>274</v>
      </c>
      <c r="F260" s="5">
        <v>29</v>
      </c>
      <c r="I260" s="2" t="s">
        <v>274</v>
      </c>
      <c r="J260" s="3">
        <v>33.068965517241381</v>
      </c>
      <c r="M260" s="2" t="s">
        <v>274</v>
      </c>
      <c r="N260" s="5">
        <v>4.833333333333333</v>
      </c>
    </row>
    <row r="261" spans="5:14" x14ac:dyDescent="0.3">
      <c r="E261" s="2" t="s">
        <v>275</v>
      </c>
      <c r="F261" s="5">
        <v>24</v>
      </c>
      <c r="I261" s="2" t="s">
        <v>275</v>
      </c>
      <c r="J261" s="3">
        <v>34.708333333333336</v>
      </c>
      <c r="M261" s="2" t="s">
        <v>275</v>
      </c>
      <c r="N261" s="5">
        <v>4</v>
      </c>
    </row>
    <row r="262" spans="5:14" x14ac:dyDescent="0.3">
      <c r="E262" s="2" t="s">
        <v>276</v>
      </c>
      <c r="F262" s="5">
        <v>28</v>
      </c>
      <c r="I262" s="2" t="s">
        <v>276</v>
      </c>
      <c r="J262" s="3">
        <v>35.357142857142854</v>
      </c>
      <c r="M262" s="2" t="s">
        <v>276</v>
      </c>
      <c r="N262" s="5">
        <v>5.7142857142857144</v>
      </c>
    </row>
    <row r="263" spans="5:14" x14ac:dyDescent="0.3">
      <c r="E263" s="2" t="s">
        <v>277</v>
      </c>
      <c r="F263" s="5">
        <v>44</v>
      </c>
      <c r="I263" s="2" t="s">
        <v>277</v>
      </c>
      <c r="J263" s="3">
        <v>37.613636363636367</v>
      </c>
      <c r="M263" s="2" t="s">
        <v>277</v>
      </c>
      <c r="N263" s="5">
        <v>4.384615384615385</v>
      </c>
    </row>
    <row r="264" spans="5:14" x14ac:dyDescent="0.3">
      <c r="E264" s="2" t="s">
        <v>278</v>
      </c>
      <c r="F264" s="5">
        <v>35</v>
      </c>
      <c r="I264" s="2" t="s">
        <v>278</v>
      </c>
      <c r="J264" s="3">
        <v>33.514285714285712</v>
      </c>
      <c r="M264" s="2" t="s">
        <v>278</v>
      </c>
      <c r="N264" s="5">
        <v>5.5</v>
      </c>
    </row>
    <row r="265" spans="5:14" x14ac:dyDescent="0.3">
      <c r="E265" s="2" t="s">
        <v>279</v>
      </c>
      <c r="F265" s="5">
        <v>38</v>
      </c>
      <c r="I265" s="2" t="s">
        <v>279</v>
      </c>
      <c r="J265" s="3">
        <v>32.131578947368418</v>
      </c>
      <c r="M265" s="2" t="s">
        <v>279</v>
      </c>
      <c r="N265" s="5">
        <v>5.8888888888888893</v>
      </c>
    </row>
    <row r="266" spans="5:14" x14ac:dyDescent="0.3">
      <c r="E266" s="2" t="s">
        <v>280</v>
      </c>
      <c r="F266" s="5">
        <v>28</v>
      </c>
      <c r="I266" s="2" t="s">
        <v>280</v>
      </c>
      <c r="J266" s="3">
        <v>37.571428571428569</v>
      </c>
      <c r="M266" s="2" t="s">
        <v>280</v>
      </c>
      <c r="N266" s="5">
        <v>6.1818181818181817</v>
      </c>
    </row>
    <row r="267" spans="5:14" x14ac:dyDescent="0.3">
      <c r="E267" s="2" t="s">
        <v>281</v>
      </c>
      <c r="F267" s="5">
        <v>34</v>
      </c>
      <c r="I267" s="2" t="s">
        <v>281</v>
      </c>
      <c r="J267" s="3">
        <v>31.911764705882351</v>
      </c>
      <c r="M267" s="2" t="s">
        <v>281</v>
      </c>
      <c r="N267" s="5">
        <v>4</v>
      </c>
    </row>
    <row r="268" spans="5:14" x14ac:dyDescent="0.3">
      <c r="E268" s="2" t="s">
        <v>282</v>
      </c>
      <c r="F268" s="5">
        <v>26</v>
      </c>
      <c r="I268" s="2" t="s">
        <v>282</v>
      </c>
      <c r="J268" s="3">
        <v>34.03846153846154</v>
      </c>
      <c r="M268" s="2" t="s">
        <v>282</v>
      </c>
      <c r="N268" s="5">
        <v>4.333333333333333</v>
      </c>
    </row>
    <row r="269" spans="5:14" x14ac:dyDescent="0.3">
      <c r="E269" s="2" t="s">
        <v>283</v>
      </c>
      <c r="F269" s="5">
        <v>36</v>
      </c>
      <c r="I269" s="2" t="s">
        <v>283</v>
      </c>
      <c r="J269" s="3">
        <v>33.722222222222221</v>
      </c>
      <c r="M269" s="2" t="s">
        <v>283</v>
      </c>
      <c r="N269" s="5">
        <v>4.8461538461538458</v>
      </c>
    </row>
    <row r="270" spans="5:14" x14ac:dyDescent="0.3">
      <c r="E270" s="2" t="s">
        <v>284</v>
      </c>
      <c r="F270" s="5">
        <v>32</v>
      </c>
      <c r="I270" s="2" t="s">
        <v>284</v>
      </c>
      <c r="J270" s="3">
        <v>31.5625</v>
      </c>
      <c r="M270" s="2" t="s">
        <v>284</v>
      </c>
      <c r="N270" s="5">
        <v>3</v>
      </c>
    </row>
    <row r="271" spans="5:14" x14ac:dyDescent="0.3">
      <c r="E271" s="2" t="s">
        <v>285</v>
      </c>
      <c r="F271" s="5">
        <v>25</v>
      </c>
      <c r="I271" s="2" t="s">
        <v>285</v>
      </c>
      <c r="J271" s="3">
        <v>37.24</v>
      </c>
      <c r="M271" s="2" t="s">
        <v>285</v>
      </c>
      <c r="N271" s="5">
        <v>3.8333333333333335</v>
      </c>
    </row>
    <row r="272" spans="5:14" x14ac:dyDescent="0.3">
      <c r="E272" s="2" t="s">
        <v>286</v>
      </c>
      <c r="F272" s="5">
        <v>30</v>
      </c>
      <c r="I272" s="2" t="s">
        <v>286</v>
      </c>
      <c r="J272" s="3">
        <v>34.9</v>
      </c>
      <c r="M272" s="2" t="s">
        <v>286</v>
      </c>
      <c r="N272" s="5">
        <v>6.5</v>
      </c>
    </row>
    <row r="273" spans="5:14" x14ac:dyDescent="0.3">
      <c r="E273" s="2" t="s">
        <v>287</v>
      </c>
      <c r="F273" s="5">
        <v>29</v>
      </c>
      <c r="I273" s="2" t="s">
        <v>287</v>
      </c>
      <c r="J273" s="3">
        <v>35.413793103448278</v>
      </c>
      <c r="M273" s="2" t="s">
        <v>287</v>
      </c>
      <c r="N273" s="5">
        <v>5.7</v>
      </c>
    </row>
    <row r="274" spans="5:14" x14ac:dyDescent="0.3">
      <c r="E274" s="2" t="s">
        <v>288</v>
      </c>
      <c r="F274" s="5">
        <v>32</v>
      </c>
      <c r="I274" s="2" t="s">
        <v>288</v>
      </c>
      <c r="J274" s="3">
        <v>33.5625</v>
      </c>
      <c r="M274" s="2" t="s">
        <v>288</v>
      </c>
      <c r="N274" s="5">
        <v>4.5714285714285712</v>
      </c>
    </row>
    <row r="275" spans="5:14" x14ac:dyDescent="0.3">
      <c r="E275" s="2" t="s">
        <v>289</v>
      </c>
      <c r="F275" s="5">
        <v>29</v>
      </c>
      <c r="I275" s="2" t="s">
        <v>289</v>
      </c>
      <c r="J275" s="3">
        <v>32.586206896551722</v>
      </c>
      <c r="M275" s="2" t="s">
        <v>289</v>
      </c>
      <c r="N275" s="5">
        <v>3.2727272727272729</v>
      </c>
    </row>
    <row r="276" spans="5:14" x14ac:dyDescent="0.3">
      <c r="E276" s="2" t="s">
        <v>290</v>
      </c>
      <c r="F276" s="5">
        <v>33</v>
      </c>
      <c r="I276" s="2" t="s">
        <v>290</v>
      </c>
      <c r="J276" s="3">
        <v>33.030303030303031</v>
      </c>
      <c r="M276" s="2" t="s">
        <v>290</v>
      </c>
      <c r="N276" s="5">
        <v>3</v>
      </c>
    </row>
    <row r="277" spans="5:14" x14ac:dyDescent="0.3">
      <c r="E277" s="2" t="s">
        <v>291</v>
      </c>
      <c r="F277" s="5">
        <v>32</v>
      </c>
      <c r="I277" s="2" t="s">
        <v>291</v>
      </c>
      <c r="J277" s="3">
        <v>33.25</v>
      </c>
      <c r="M277" s="2" t="s">
        <v>291</v>
      </c>
      <c r="N277" s="5">
        <v>7.2857142857142856</v>
      </c>
    </row>
    <row r="278" spans="5:14" x14ac:dyDescent="0.3">
      <c r="E278" s="2" t="s">
        <v>292</v>
      </c>
      <c r="F278" s="5">
        <v>36</v>
      </c>
      <c r="I278" s="2" t="s">
        <v>292</v>
      </c>
      <c r="J278" s="3">
        <v>36.611111111111114</v>
      </c>
      <c r="M278" s="2" t="s">
        <v>292</v>
      </c>
      <c r="N278" s="5">
        <v>5.7142857142857144</v>
      </c>
    </row>
    <row r="279" spans="5:14" x14ac:dyDescent="0.3">
      <c r="E279" s="2" t="s">
        <v>293</v>
      </c>
      <c r="F279" s="5">
        <v>35</v>
      </c>
      <c r="I279" s="2" t="s">
        <v>293</v>
      </c>
      <c r="J279" s="3">
        <v>36.971428571428568</v>
      </c>
      <c r="M279" s="2" t="s">
        <v>293</v>
      </c>
      <c r="N279" s="5">
        <v>4.833333333333333</v>
      </c>
    </row>
    <row r="280" spans="5:14" x14ac:dyDescent="0.3">
      <c r="E280" s="2" t="s">
        <v>294</v>
      </c>
      <c r="F280" s="5">
        <v>25</v>
      </c>
      <c r="I280" s="2" t="s">
        <v>294</v>
      </c>
      <c r="J280" s="3">
        <v>35.64</v>
      </c>
      <c r="M280" s="2" t="s">
        <v>294</v>
      </c>
      <c r="N280" s="5">
        <v>4.5</v>
      </c>
    </row>
    <row r="281" spans="5:14" x14ac:dyDescent="0.3">
      <c r="E281" s="2" t="s">
        <v>295</v>
      </c>
      <c r="F281" s="5">
        <v>33</v>
      </c>
      <c r="I281" s="2" t="s">
        <v>295</v>
      </c>
      <c r="J281" s="3">
        <v>34.454545454545453</v>
      </c>
      <c r="M281" s="2" t="s">
        <v>295</v>
      </c>
      <c r="N281" s="5">
        <v>3.6666666666666665</v>
      </c>
    </row>
    <row r="282" spans="5:14" x14ac:dyDescent="0.3">
      <c r="E282" s="2" t="s">
        <v>296</v>
      </c>
      <c r="F282" s="5">
        <v>34</v>
      </c>
      <c r="I282" s="2" t="s">
        <v>296</v>
      </c>
      <c r="J282" s="3">
        <v>37.088235294117645</v>
      </c>
      <c r="M282" s="2" t="s">
        <v>296</v>
      </c>
      <c r="N282" s="5">
        <v>5.4444444444444446</v>
      </c>
    </row>
    <row r="283" spans="5:14" x14ac:dyDescent="0.3">
      <c r="E283" s="2" t="s">
        <v>297</v>
      </c>
      <c r="F283" s="5">
        <v>30</v>
      </c>
      <c r="I283" s="2" t="s">
        <v>297</v>
      </c>
      <c r="J283" s="3">
        <v>27.933333333333334</v>
      </c>
      <c r="M283" s="2" t="s">
        <v>297</v>
      </c>
      <c r="N283" s="5">
        <v>4.2857142857142856</v>
      </c>
    </row>
    <row r="284" spans="5:14" x14ac:dyDescent="0.3">
      <c r="E284" s="2" t="s">
        <v>298</v>
      </c>
      <c r="F284" s="5">
        <v>26</v>
      </c>
      <c r="I284" s="2" t="s">
        <v>298</v>
      </c>
      <c r="J284" s="3">
        <v>33.884615384615387</v>
      </c>
      <c r="M284" s="2" t="s">
        <v>298</v>
      </c>
      <c r="N284" s="5">
        <v>3.3333333333333335</v>
      </c>
    </row>
    <row r="285" spans="5:14" x14ac:dyDescent="0.3">
      <c r="E285" s="2" t="s">
        <v>299</v>
      </c>
      <c r="F285" s="5">
        <v>29</v>
      </c>
      <c r="I285" s="2" t="s">
        <v>299</v>
      </c>
      <c r="J285" s="3">
        <v>33.827586206896555</v>
      </c>
      <c r="M285" s="2" t="s">
        <v>299</v>
      </c>
      <c r="N285" s="5">
        <v>7.1428571428571432</v>
      </c>
    </row>
    <row r="286" spans="5:14" x14ac:dyDescent="0.3">
      <c r="E286" s="2" t="s">
        <v>300</v>
      </c>
      <c r="F286" s="5">
        <v>26</v>
      </c>
      <c r="I286" s="2" t="s">
        <v>300</v>
      </c>
      <c r="J286" s="3">
        <v>31.576923076923077</v>
      </c>
      <c r="M286" s="2" t="s">
        <v>300</v>
      </c>
      <c r="N286" s="5">
        <v>4</v>
      </c>
    </row>
    <row r="287" spans="5:14" x14ac:dyDescent="0.3">
      <c r="E287" s="2" t="s">
        <v>301</v>
      </c>
      <c r="F287" s="5">
        <v>37</v>
      </c>
      <c r="I287" s="2" t="s">
        <v>301</v>
      </c>
      <c r="J287" s="3">
        <v>33.270270270270274</v>
      </c>
      <c r="M287" s="2" t="s">
        <v>301</v>
      </c>
      <c r="N287" s="5">
        <v>5</v>
      </c>
    </row>
    <row r="288" spans="5:14" x14ac:dyDescent="0.3">
      <c r="E288" s="2" t="s">
        <v>302</v>
      </c>
      <c r="F288" s="5">
        <v>22</v>
      </c>
      <c r="I288" s="2" t="s">
        <v>302</v>
      </c>
      <c r="J288" s="3">
        <v>36.5</v>
      </c>
      <c r="M288" s="2" t="s">
        <v>302</v>
      </c>
      <c r="N288" s="5">
        <v>8.5</v>
      </c>
    </row>
    <row r="289" spans="5:14" x14ac:dyDescent="0.3">
      <c r="E289" s="2" t="s">
        <v>303</v>
      </c>
      <c r="F289" s="5">
        <v>43</v>
      </c>
      <c r="I289" s="2" t="s">
        <v>303</v>
      </c>
      <c r="J289" s="3">
        <v>34.093023255813954</v>
      </c>
      <c r="M289" s="2" t="s">
        <v>303</v>
      </c>
      <c r="N289" s="5">
        <v>5.3636363636363633</v>
      </c>
    </row>
    <row r="290" spans="5:14" x14ac:dyDescent="0.3">
      <c r="E290" s="2" t="s">
        <v>304</v>
      </c>
      <c r="F290" s="5">
        <v>37</v>
      </c>
      <c r="I290" s="2" t="s">
        <v>304</v>
      </c>
      <c r="J290" s="3">
        <v>39.216216216216218</v>
      </c>
      <c r="M290" s="2" t="s">
        <v>304</v>
      </c>
      <c r="N290" s="5">
        <v>3.2222222222222223</v>
      </c>
    </row>
    <row r="291" spans="5:14" x14ac:dyDescent="0.3">
      <c r="E291" s="2" t="s">
        <v>305</v>
      </c>
      <c r="F291" s="5">
        <v>34</v>
      </c>
      <c r="I291" s="2" t="s">
        <v>305</v>
      </c>
      <c r="J291" s="3">
        <v>35.676470588235297</v>
      </c>
      <c r="M291" s="2" t="s">
        <v>305</v>
      </c>
      <c r="N291" s="5">
        <v>3.8888888888888888</v>
      </c>
    </row>
    <row r="292" spans="5:14" x14ac:dyDescent="0.3">
      <c r="E292" s="2" t="s">
        <v>306</v>
      </c>
      <c r="F292" s="5">
        <v>31</v>
      </c>
      <c r="I292" s="2" t="s">
        <v>306</v>
      </c>
      <c r="J292" s="3">
        <v>34.354838709677416</v>
      </c>
      <c r="M292" s="2" t="s">
        <v>306</v>
      </c>
      <c r="N292" s="5">
        <v>5.4615384615384617</v>
      </c>
    </row>
    <row r="293" spans="5:14" x14ac:dyDescent="0.3">
      <c r="E293" s="2" t="s">
        <v>307</v>
      </c>
      <c r="F293" s="5">
        <v>25</v>
      </c>
      <c r="I293" s="2" t="s">
        <v>307</v>
      </c>
      <c r="J293" s="3">
        <v>38.56</v>
      </c>
      <c r="M293" s="2" t="s">
        <v>307</v>
      </c>
      <c r="N293" s="5">
        <v>5.9090909090909092</v>
      </c>
    </row>
    <row r="294" spans="5:14" x14ac:dyDescent="0.3">
      <c r="E294" s="2" t="s">
        <v>308</v>
      </c>
      <c r="F294" s="5">
        <v>26</v>
      </c>
      <c r="I294" s="2" t="s">
        <v>308</v>
      </c>
      <c r="J294" s="3">
        <v>28.76923076923077</v>
      </c>
      <c r="M294" s="2" t="s">
        <v>308</v>
      </c>
      <c r="N294" s="5">
        <v>6.625</v>
      </c>
    </row>
    <row r="295" spans="5:14" x14ac:dyDescent="0.3">
      <c r="E295" s="2" t="s">
        <v>309</v>
      </c>
      <c r="F295" s="5">
        <v>28</v>
      </c>
      <c r="I295" s="2" t="s">
        <v>309</v>
      </c>
      <c r="J295" s="3">
        <v>33.571428571428569</v>
      </c>
      <c r="M295" s="2" t="s">
        <v>309</v>
      </c>
      <c r="N295" s="5">
        <v>6.4545454545454541</v>
      </c>
    </row>
    <row r="296" spans="5:14" x14ac:dyDescent="0.3">
      <c r="E296" s="2" t="s">
        <v>310</v>
      </c>
      <c r="F296" s="5">
        <v>43</v>
      </c>
      <c r="I296" s="2" t="s">
        <v>310</v>
      </c>
      <c r="J296" s="3">
        <v>33.534883720930232</v>
      </c>
      <c r="M296" s="2" t="s">
        <v>310</v>
      </c>
      <c r="N296" s="5">
        <v>5.166666666666667</v>
      </c>
    </row>
    <row r="297" spans="5:14" x14ac:dyDescent="0.3">
      <c r="E297" s="2" t="s">
        <v>311</v>
      </c>
      <c r="F297" s="5">
        <v>33</v>
      </c>
      <c r="I297" s="2" t="s">
        <v>311</v>
      </c>
      <c r="J297" s="3">
        <v>39.515151515151516</v>
      </c>
      <c r="M297" s="2" t="s">
        <v>311</v>
      </c>
      <c r="N297" s="5">
        <v>6.7</v>
      </c>
    </row>
    <row r="298" spans="5:14" x14ac:dyDescent="0.3">
      <c r="E298" s="2" t="s">
        <v>312</v>
      </c>
      <c r="F298" s="5">
        <v>42</v>
      </c>
      <c r="I298" s="2" t="s">
        <v>312</v>
      </c>
      <c r="J298" s="3">
        <v>32.714285714285715</v>
      </c>
      <c r="M298" s="2" t="s">
        <v>312</v>
      </c>
      <c r="N298" s="5">
        <v>3.75</v>
      </c>
    </row>
    <row r="299" spans="5:14" x14ac:dyDescent="0.3">
      <c r="E299" s="2" t="s">
        <v>313</v>
      </c>
      <c r="F299" s="5">
        <v>35</v>
      </c>
      <c r="I299" s="2" t="s">
        <v>313</v>
      </c>
      <c r="J299" s="3">
        <v>30.62857142857143</v>
      </c>
      <c r="M299" s="2" t="s">
        <v>313</v>
      </c>
      <c r="N299" s="5">
        <v>4.8461538461538458</v>
      </c>
    </row>
    <row r="300" spans="5:14" x14ac:dyDescent="0.3">
      <c r="E300" s="2" t="s">
        <v>314</v>
      </c>
      <c r="F300" s="5">
        <v>35</v>
      </c>
      <c r="I300" s="2" t="s">
        <v>314</v>
      </c>
      <c r="J300" s="3">
        <v>36.914285714285711</v>
      </c>
      <c r="M300" s="2" t="s">
        <v>314</v>
      </c>
      <c r="N300" s="5">
        <v>4.6363636363636367</v>
      </c>
    </row>
    <row r="301" spans="5:14" x14ac:dyDescent="0.3">
      <c r="E301" s="2" t="s">
        <v>315</v>
      </c>
      <c r="F301" s="5">
        <v>31</v>
      </c>
      <c r="I301" s="2" t="s">
        <v>315</v>
      </c>
      <c r="J301" s="3">
        <v>41.064516129032256</v>
      </c>
      <c r="M301" s="2" t="s">
        <v>315</v>
      </c>
      <c r="N301" s="5">
        <v>5.1111111111111107</v>
      </c>
    </row>
    <row r="302" spans="5:14" x14ac:dyDescent="0.3">
      <c r="E302" s="2" t="s">
        <v>316</v>
      </c>
      <c r="F302" s="5">
        <v>31</v>
      </c>
      <c r="I302" s="2" t="s">
        <v>316</v>
      </c>
      <c r="J302" s="3">
        <v>32.58064516129032</v>
      </c>
      <c r="M302" s="2" t="s">
        <v>316</v>
      </c>
      <c r="N302" s="5">
        <v>7.375</v>
      </c>
    </row>
    <row r="303" spans="5:14" x14ac:dyDescent="0.3">
      <c r="E303" s="2" t="s">
        <v>317</v>
      </c>
      <c r="F303" s="5">
        <v>33</v>
      </c>
      <c r="I303" s="2" t="s">
        <v>317</v>
      </c>
      <c r="J303" s="3">
        <v>31.393939393939394</v>
      </c>
      <c r="M303" s="2" t="s">
        <v>317</v>
      </c>
      <c r="N303" s="5">
        <v>4.4444444444444446</v>
      </c>
    </row>
    <row r="304" spans="5:14" x14ac:dyDescent="0.3">
      <c r="E304" s="2" t="s">
        <v>318</v>
      </c>
      <c r="F304" s="5">
        <v>33</v>
      </c>
      <c r="I304" s="2" t="s">
        <v>318</v>
      </c>
      <c r="J304" s="3">
        <v>29.363636363636363</v>
      </c>
      <c r="M304" s="2" t="s">
        <v>318</v>
      </c>
      <c r="N304" s="5">
        <v>3.8888888888888888</v>
      </c>
    </row>
    <row r="305" spans="5:14" x14ac:dyDescent="0.3">
      <c r="E305" s="2" t="s">
        <v>319</v>
      </c>
      <c r="F305" s="5">
        <v>20</v>
      </c>
      <c r="I305" s="2" t="s">
        <v>319</v>
      </c>
      <c r="J305" s="3">
        <v>35.4</v>
      </c>
      <c r="M305" s="2" t="s">
        <v>319</v>
      </c>
      <c r="N305" s="5">
        <v>5.8888888888888893</v>
      </c>
    </row>
    <row r="306" spans="5:14" x14ac:dyDescent="0.3">
      <c r="E306" s="2" t="s">
        <v>320</v>
      </c>
      <c r="F306" s="5">
        <v>29</v>
      </c>
      <c r="I306" s="2" t="s">
        <v>320</v>
      </c>
      <c r="J306" s="3">
        <v>35.655172413793103</v>
      </c>
      <c r="M306" s="2" t="s">
        <v>320</v>
      </c>
      <c r="N306" s="5">
        <v>4</v>
      </c>
    </row>
    <row r="307" spans="5:14" x14ac:dyDescent="0.3">
      <c r="E307" s="2" t="s">
        <v>321</v>
      </c>
      <c r="F307" s="5">
        <v>27</v>
      </c>
      <c r="I307" s="2" t="s">
        <v>321</v>
      </c>
      <c r="J307" s="3">
        <v>40.481481481481481</v>
      </c>
      <c r="M307" s="2" t="s">
        <v>321</v>
      </c>
      <c r="N307" s="5">
        <v>3.75</v>
      </c>
    </row>
    <row r="308" spans="5:14" x14ac:dyDescent="0.3">
      <c r="E308" s="2" t="s">
        <v>322</v>
      </c>
      <c r="F308" s="5">
        <v>31</v>
      </c>
      <c r="I308" s="2" t="s">
        <v>322</v>
      </c>
      <c r="J308" s="3">
        <v>31.193548387096776</v>
      </c>
      <c r="M308" s="2" t="s">
        <v>322</v>
      </c>
      <c r="N308" s="5">
        <v>4.625</v>
      </c>
    </row>
    <row r="309" spans="5:14" x14ac:dyDescent="0.3">
      <c r="E309" s="2" t="s">
        <v>323</v>
      </c>
      <c r="F309" s="5">
        <v>20</v>
      </c>
      <c r="I309" s="2" t="s">
        <v>323</v>
      </c>
      <c r="J309" s="3">
        <v>35.049999999999997</v>
      </c>
      <c r="M309" s="2" t="s">
        <v>323</v>
      </c>
      <c r="N309" s="5">
        <v>5</v>
      </c>
    </row>
    <row r="310" spans="5:14" x14ac:dyDescent="0.3">
      <c r="E310" s="2" t="s">
        <v>324</v>
      </c>
      <c r="F310" s="5">
        <v>17</v>
      </c>
      <c r="I310" s="2" t="s">
        <v>324</v>
      </c>
      <c r="J310" s="3">
        <v>35.117647058823529</v>
      </c>
      <c r="M310" s="2" t="s">
        <v>324</v>
      </c>
      <c r="N310" s="5">
        <v>4.666666666666667</v>
      </c>
    </row>
    <row r="311" spans="5:14" x14ac:dyDescent="0.3">
      <c r="E311" s="2" t="s">
        <v>325</v>
      </c>
      <c r="F311" s="5">
        <v>12</v>
      </c>
      <c r="I311" s="2" t="s">
        <v>325</v>
      </c>
      <c r="J311" s="3">
        <v>28.916666666666668</v>
      </c>
      <c r="M311" s="2" t="s">
        <v>325</v>
      </c>
      <c r="N311" s="5">
        <v>4.666666666666667</v>
      </c>
    </row>
    <row r="312" spans="5:14" x14ac:dyDescent="0.3">
      <c r="E312" s="2" t="s">
        <v>326</v>
      </c>
      <c r="F312" s="5">
        <v>14</v>
      </c>
      <c r="I312" s="2" t="s">
        <v>326</v>
      </c>
      <c r="J312" s="3">
        <v>34.357142857142854</v>
      </c>
      <c r="M312" s="2" t="s">
        <v>326</v>
      </c>
      <c r="N312" s="5">
        <v>5.4</v>
      </c>
    </row>
    <row r="313" spans="5:14" x14ac:dyDescent="0.3">
      <c r="E313" s="2" t="s">
        <v>327</v>
      </c>
      <c r="F313" s="5">
        <v>17</v>
      </c>
      <c r="I313" s="2" t="s">
        <v>327</v>
      </c>
      <c r="J313" s="3">
        <v>29.705882352941178</v>
      </c>
      <c r="M313" s="2" t="s">
        <v>327</v>
      </c>
      <c r="N313" s="5">
        <v>5.2</v>
      </c>
    </row>
    <row r="314" spans="5:14" x14ac:dyDescent="0.3">
      <c r="E314" s="2" t="s">
        <v>328</v>
      </c>
      <c r="F314" s="5">
        <v>17</v>
      </c>
      <c r="I314" s="2" t="s">
        <v>328</v>
      </c>
      <c r="J314" s="3">
        <v>33.176470588235297</v>
      </c>
      <c r="M314" s="2" t="s">
        <v>328</v>
      </c>
      <c r="N314" s="5">
        <v>2.4285714285714284</v>
      </c>
    </row>
    <row r="315" spans="5:14" x14ac:dyDescent="0.3">
      <c r="E315" s="2" t="s">
        <v>329</v>
      </c>
      <c r="F315" s="5">
        <v>16</v>
      </c>
      <c r="I315" s="2" t="s">
        <v>329</v>
      </c>
      <c r="J315" s="3">
        <v>39.8125</v>
      </c>
      <c r="M315" s="2" t="s">
        <v>329</v>
      </c>
      <c r="N315" s="5">
        <v>4.8</v>
      </c>
    </row>
    <row r="316" spans="5:14" x14ac:dyDescent="0.3">
      <c r="E316" s="2" t="s">
        <v>330</v>
      </c>
      <c r="F316" s="5">
        <v>19</v>
      </c>
      <c r="I316" s="2" t="s">
        <v>330</v>
      </c>
      <c r="J316" s="3">
        <v>36.578947368421055</v>
      </c>
      <c r="M316" s="2" t="s">
        <v>330</v>
      </c>
      <c r="N316" s="5">
        <v>6.5714285714285712</v>
      </c>
    </row>
    <row r="317" spans="5:14" x14ac:dyDescent="0.3">
      <c r="E317" s="2" t="s">
        <v>331</v>
      </c>
      <c r="F317" s="5">
        <v>14</v>
      </c>
      <c r="I317" s="2" t="s">
        <v>331</v>
      </c>
      <c r="J317" s="3">
        <v>34.5</v>
      </c>
      <c r="M317" s="2" t="s">
        <v>331</v>
      </c>
      <c r="N317" s="5">
        <v>3</v>
      </c>
    </row>
    <row r="318" spans="5:14" x14ac:dyDescent="0.3">
      <c r="E318" s="2" t="s">
        <v>332</v>
      </c>
      <c r="F318" s="5">
        <v>17</v>
      </c>
      <c r="I318" s="2" t="s">
        <v>332</v>
      </c>
      <c r="J318" s="3">
        <v>39.764705882352942</v>
      </c>
      <c r="M318" s="2" t="s">
        <v>332</v>
      </c>
      <c r="N318" s="5">
        <v>4.5999999999999996</v>
      </c>
    </row>
    <row r="319" spans="5:14" x14ac:dyDescent="0.3">
      <c r="E319" s="2" t="s">
        <v>333</v>
      </c>
      <c r="F319" s="5">
        <v>13</v>
      </c>
      <c r="I319" s="2" t="s">
        <v>333</v>
      </c>
      <c r="J319" s="3">
        <v>35.230769230769234</v>
      </c>
      <c r="M319" s="2" t="s">
        <v>333</v>
      </c>
      <c r="N319" s="5">
        <v>3.875</v>
      </c>
    </row>
    <row r="320" spans="5:14" x14ac:dyDescent="0.3">
      <c r="E320" s="2" t="s">
        <v>334</v>
      </c>
      <c r="F320" s="5">
        <v>12</v>
      </c>
      <c r="I320" s="2" t="s">
        <v>334</v>
      </c>
      <c r="J320" s="3">
        <v>41.5</v>
      </c>
      <c r="M320" s="2" t="s">
        <v>334</v>
      </c>
      <c r="N320" s="5">
        <v>7.25</v>
      </c>
    </row>
    <row r="321" spans="5:14" x14ac:dyDescent="0.3">
      <c r="E321" s="2" t="s">
        <v>335</v>
      </c>
      <c r="F321" s="5">
        <v>16</v>
      </c>
      <c r="I321" s="2" t="s">
        <v>335</v>
      </c>
      <c r="J321" s="3">
        <v>38.0625</v>
      </c>
      <c r="M321" s="2" t="s">
        <v>335</v>
      </c>
      <c r="N321" s="5">
        <v>3</v>
      </c>
    </row>
    <row r="322" spans="5:14" x14ac:dyDescent="0.3">
      <c r="E322" s="2" t="s">
        <v>336</v>
      </c>
      <c r="F322" s="5">
        <v>9</v>
      </c>
      <c r="I322" s="2" t="s">
        <v>336</v>
      </c>
      <c r="J322" s="3">
        <v>29.222222222222221</v>
      </c>
      <c r="M322" s="2" t="s">
        <v>336</v>
      </c>
      <c r="N322" s="5">
        <v>8</v>
      </c>
    </row>
    <row r="323" spans="5:14" x14ac:dyDescent="0.3">
      <c r="E323" s="2" t="s">
        <v>337</v>
      </c>
      <c r="F323" s="5">
        <v>17</v>
      </c>
      <c r="I323" s="2" t="s">
        <v>337</v>
      </c>
      <c r="J323" s="3">
        <v>31</v>
      </c>
      <c r="M323" s="2" t="s">
        <v>337</v>
      </c>
      <c r="N323" s="5">
        <v>6</v>
      </c>
    </row>
    <row r="324" spans="5:14" x14ac:dyDescent="0.3">
      <c r="E324" s="2" t="s">
        <v>338</v>
      </c>
      <c r="F324" s="5">
        <v>16</v>
      </c>
      <c r="I324" s="2" t="s">
        <v>338</v>
      </c>
      <c r="J324" s="3">
        <v>37.3125</v>
      </c>
      <c r="M324" s="2" t="s">
        <v>338</v>
      </c>
      <c r="N324" s="5">
        <v>3.6666666666666665</v>
      </c>
    </row>
    <row r="325" spans="5:14" x14ac:dyDescent="0.3">
      <c r="E325" s="2" t="s">
        <v>339</v>
      </c>
      <c r="F325" s="5">
        <v>17</v>
      </c>
      <c r="I325" s="2" t="s">
        <v>339</v>
      </c>
      <c r="J325" s="3">
        <v>35.647058823529413</v>
      </c>
      <c r="M325" s="2" t="s">
        <v>339</v>
      </c>
      <c r="N325" s="5">
        <v>5.333333333333333</v>
      </c>
    </row>
    <row r="326" spans="5:14" x14ac:dyDescent="0.3">
      <c r="E326" s="2" t="s">
        <v>340</v>
      </c>
      <c r="F326" s="5">
        <v>21</v>
      </c>
      <c r="I326" s="2" t="s">
        <v>340</v>
      </c>
      <c r="J326" s="3">
        <v>36.476190476190474</v>
      </c>
      <c r="M326" s="2" t="s">
        <v>340</v>
      </c>
      <c r="N326" s="5">
        <v>6.1111111111111107</v>
      </c>
    </row>
    <row r="327" spans="5:14" x14ac:dyDescent="0.3">
      <c r="E327" s="2" t="s">
        <v>341</v>
      </c>
      <c r="F327" s="5">
        <v>15</v>
      </c>
      <c r="I327" s="2" t="s">
        <v>341</v>
      </c>
      <c r="J327" s="3">
        <v>40.799999999999997</v>
      </c>
      <c r="M327" s="2" t="s">
        <v>341</v>
      </c>
      <c r="N327" s="5">
        <v>6.5</v>
      </c>
    </row>
    <row r="328" spans="5:14" x14ac:dyDescent="0.3">
      <c r="E328" s="2" t="s">
        <v>342</v>
      </c>
      <c r="F328" s="5">
        <v>22</v>
      </c>
      <c r="I328" s="2" t="s">
        <v>342</v>
      </c>
      <c r="J328" s="3">
        <v>30.318181818181817</v>
      </c>
      <c r="M328" s="2" t="s">
        <v>342</v>
      </c>
      <c r="N328" s="5">
        <v>5</v>
      </c>
    </row>
    <row r="329" spans="5:14" x14ac:dyDescent="0.3">
      <c r="E329" s="2" t="s">
        <v>343</v>
      </c>
      <c r="F329" s="5">
        <v>14</v>
      </c>
      <c r="I329" s="2" t="s">
        <v>343</v>
      </c>
      <c r="J329" s="3">
        <v>35.714285714285715</v>
      </c>
      <c r="M329" s="2" t="s">
        <v>343</v>
      </c>
      <c r="N329" s="5">
        <v>5.8</v>
      </c>
    </row>
    <row r="330" spans="5:14" x14ac:dyDescent="0.3">
      <c r="E330" s="2" t="s">
        <v>344</v>
      </c>
      <c r="F330" s="5">
        <v>13</v>
      </c>
      <c r="I330" s="2" t="s">
        <v>344</v>
      </c>
      <c r="J330" s="3">
        <v>33.53846153846154</v>
      </c>
      <c r="M330" s="2" t="s">
        <v>344</v>
      </c>
      <c r="N330" s="5">
        <v>6</v>
      </c>
    </row>
    <row r="331" spans="5:14" x14ac:dyDescent="0.3">
      <c r="E331" s="2" t="s">
        <v>345</v>
      </c>
      <c r="F331" s="5">
        <v>10</v>
      </c>
      <c r="I331" s="2" t="s">
        <v>345</v>
      </c>
      <c r="J331" s="3">
        <v>37.5</v>
      </c>
      <c r="M331" s="2" t="s">
        <v>345</v>
      </c>
      <c r="N331" s="5">
        <v>8</v>
      </c>
    </row>
    <row r="332" spans="5:14" x14ac:dyDescent="0.3">
      <c r="E332" s="2" t="s">
        <v>346</v>
      </c>
      <c r="F332" s="5">
        <v>17</v>
      </c>
      <c r="I332" s="2" t="s">
        <v>346</v>
      </c>
      <c r="J332" s="3">
        <v>38.058823529411768</v>
      </c>
      <c r="M332" s="2" t="s">
        <v>346</v>
      </c>
      <c r="N332" s="5">
        <v>7</v>
      </c>
    </row>
    <row r="333" spans="5:14" x14ac:dyDescent="0.3">
      <c r="E333" s="2" t="s">
        <v>347</v>
      </c>
      <c r="F333" s="5">
        <v>17</v>
      </c>
      <c r="I333" s="2" t="s">
        <v>347</v>
      </c>
      <c r="J333" s="3">
        <v>28.117647058823529</v>
      </c>
      <c r="M333" s="2" t="s">
        <v>347</v>
      </c>
      <c r="N333" s="5">
        <v>3.75</v>
      </c>
    </row>
    <row r="334" spans="5:14" x14ac:dyDescent="0.3">
      <c r="E334" s="2" t="s">
        <v>348</v>
      </c>
      <c r="F334" s="5">
        <v>13</v>
      </c>
      <c r="I334" s="2" t="s">
        <v>348</v>
      </c>
      <c r="J334" s="3">
        <v>31.846153846153847</v>
      </c>
      <c r="M334" s="2" t="s">
        <v>348</v>
      </c>
      <c r="N334" s="5">
        <v>1</v>
      </c>
    </row>
    <row r="335" spans="5:14" x14ac:dyDescent="0.3">
      <c r="E335" s="2" t="s">
        <v>349</v>
      </c>
      <c r="F335" s="5">
        <v>11</v>
      </c>
      <c r="I335" s="2" t="s">
        <v>349</v>
      </c>
      <c r="J335" s="3">
        <v>43.636363636363633</v>
      </c>
      <c r="M335" s="2" t="s">
        <v>349</v>
      </c>
      <c r="N335" s="5">
        <v>9</v>
      </c>
    </row>
    <row r="336" spans="5:14" x14ac:dyDescent="0.3">
      <c r="E336" s="2" t="s">
        <v>350</v>
      </c>
      <c r="F336" s="5">
        <v>19</v>
      </c>
      <c r="I336" s="2" t="s">
        <v>350</v>
      </c>
      <c r="J336" s="3">
        <v>38.842105263157897</v>
      </c>
      <c r="M336" s="2" t="s">
        <v>350</v>
      </c>
      <c r="N336" s="5">
        <v>5.8</v>
      </c>
    </row>
    <row r="337" spans="5:14" x14ac:dyDescent="0.3">
      <c r="E337" s="2" t="s">
        <v>351</v>
      </c>
      <c r="F337" s="5">
        <v>16</v>
      </c>
      <c r="I337" s="2" t="s">
        <v>351</v>
      </c>
      <c r="J337" s="3">
        <v>29.5625</v>
      </c>
      <c r="M337" s="2" t="s">
        <v>351</v>
      </c>
      <c r="N337" s="5">
        <v>4</v>
      </c>
    </row>
    <row r="338" spans="5:14" x14ac:dyDescent="0.3">
      <c r="E338" s="2" t="s">
        <v>352</v>
      </c>
      <c r="F338" s="5">
        <v>15</v>
      </c>
      <c r="I338" s="2" t="s">
        <v>352</v>
      </c>
      <c r="J338" s="3">
        <v>37.466666666666669</v>
      </c>
      <c r="M338" s="2" t="s">
        <v>352</v>
      </c>
      <c r="N338" s="5">
        <v>6.4</v>
      </c>
    </row>
    <row r="339" spans="5:14" x14ac:dyDescent="0.3">
      <c r="E339" s="2" t="s">
        <v>353</v>
      </c>
      <c r="F339" s="5">
        <v>18</v>
      </c>
      <c r="I339" s="2" t="s">
        <v>353</v>
      </c>
      <c r="J339" s="3">
        <v>35.277777777777779</v>
      </c>
      <c r="M339" s="2" t="s">
        <v>353</v>
      </c>
      <c r="N339" s="5">
        <v>5</v>
      </c>
    </row>
    <row r="340" spans="5:14" x14ac:dyDescent="0.3">
      <c r="E340" s="2" t="s">
        <v>354</v>
      </c>
      <c r="F340" s="5">
        <v>16</v>
      </c>
      <c r="I340" s="2" t="s">
        <v>354</v>
      </c>
      <c r="J340" s="3">
        <v>34.5</v>
      </c>
      <c r="M340" s="2" t="s">
        <v>354</v>
      </c>
      <c r="N340" s="5">
        <v>9</v>
      </c>
    </row>
    <row r="341" spans="5:14" x14ac:dyDescent="0.3">
      <c r="E341" s="2" t="s">
        <v>355</v>
      </c>
      <c r="F341" s="5">
        <v>15</v>
      </c>
      <c r="I341" s="2" t="s">
        <v>355</v>
      </c>
      <c r="J341" s="3">
        <v>35.4</v>
      </c>
      <c r="M341" s="2" t="s">
        <v>355</v>
      </c>
      <c r="N341" s="5">
        <v>4.4000000000000004</v>
      </c>
    </row>
    <row r="342" spans="5:14" x14ac:dyDescent="0.3">
      <c r="E342" s="2" t="s">
        <v>356</v>
      </c>
      <c r="F342" s="5">
        <v>14</v>
      </c>
      <c r="I342" s="2" t="s">
        <v>356</v>
      </c>
      <c r="J342" s="3">
        <v>34.928571428571431</v>
      </c>
      <c r="M342" s="2" t="s">
        <v>356</v>
      </c>
      <c r="N342" s="5">
        <v>4</v>
      </c>
    </row>
    <row r="343" spans="5:14" x14ac:dyDescent="0.3">
      <c r="E343" s="2" t="s">
        <v>357</v>
      </c>
      <c r="F343" s="5">
        <v>12</v>
      </c>
      <c r="I343" s="2" t="s">
        <v>357</v>
      </c>
      <c r="J343" s="3">
        <v>44.25</v>
      </c>
      <c r="M343" s="2" t="s">
        <v>357</v>
      </c>
      <c r="N343" s="5">
        <v>0</v>
      </c>
    </row>
    <row r="344" spans="5:14" x14ac:dyDescent="0.3">
      <c r="E344" s="2" t="s">
        <v>358</v>
      </c>
      <c r="F344" s="5">
        <v>16</v>
      </c>
      <c r="I344" s="2" t="s">
        <v>358</v>
      </c>
      <c r="J344" s="3">
        <v>40.1875</v>
      </c>
      <c r="M344" s="2" t="s">
        <v>358</v>
      </c>
      <c r="N344" s="5">
        <v>2.875</v>
      </c>
    </row>
    <row r="345" spans="5:14" x14ac:dyDescent="0.3">
      <c r="E345" s="2" t="s">
        <v>359</v>
      </c>
      <c r="F345" s="5">
        <v>11</v>
      </c>
      <c r="I345" s="2" t="s">
        <v>359</v>
      </c>
      <c r="J345" s="3">
        <v>35</v>
      </c>
      <c r="M345" s="2" t="s">
        <v>359</v>
      </c>
      <c r="N345" s="5">
        <v>5.25</v>
      </c>
    </row>
    <row r="346" spans="5:14" x14ac:dyDescent="0.3">
      <c r="E346" s="2" t="s">
        <v>360</v>
      </c>
      <c r="F346" s="5">
        <v>7</v>
      </c>
      <c r="I346" s="2" t="s">
        <v>360</v>
      </c>
      <c r="J346" s="3">
        <v>43.142857142857146</v>
      </c>
      <c r="M346" s="2" t="s">
        <v>361</v>
      </c>
      <c r="N346" s="5">
        <v>6</v>
      </c>
    </row>
    <row r="347" spans="5:14" x14ac:dyDescent="0.3">
      <c r="E347" s="2" t="s">
        <v>361</v>
      </c>
      <c r="F347" s="5">
        <v>16</v>
      </c>
      <c r="I347" s="2" t="s">
        <v>361</v>
      </c>
      <c r="J347" s="3">
        <v>43.6875</v>
      </c>
      <c r="M347" s="2" t="s">
        <v>362</v>
      </c>
      <c r="N347" s="5">
        <v>6.5</v>
      </c>
    </row>
    <row r="348" spans="5:14" x14ac:dyDescent="0.3">
      <c r="E348" s="2" t="s">
        <v>362</v>
      </c>
      <c r="F348" s="5">
        <v>7</v>
      </c>
      <c r="I348" s="2" t="s">
        <v>362</v>
      </c>
      <c r="J348" s="3">
        <v>33.857142857142854</v>
      </c>
      <c r="M348" s="2" t="s">
        <v>363</v>
      </c>
      <c r="N348" s="5">
        <v>5.5</v>
      </c>
    </row>
    <row r="349" spans="5:14" x14ac:dyDescent="0.3">
      <c r="E349" s="2" t="s">
        <v>363</v>
      </c>
      <c r="F349" s="5">
        <v>16</v>
      </c>
      <c r="I349" s="2" t="s">
        <v>363</v>
      </c>
      <c r="J349" s="3">
        <v>40.1875</v>
      </c>
      <c r="M349" s="2" t="s">
        <v>364</v>
      </c>
      <c r="N349" s="5">
        <v>5.666666666666667</v>
      </c>
    </row>
    <row r="350" spans="5:14" x14ac:dyDescent="0.3">
      <c r="E350" s="2" t="s">
        <v>364</v>
      </c>
      <c r="F350" s="5">
        <v>16</v>
      </c>
      <c r="I350" s="2" t="s">
        <v>364</v>
      </c>
      <c r="J350" s="3">
        <v>34.9375</v>
      </c>
      <c r="M350" s="2" t="s">
        <v>365</v>
      </c>
      <c r="N350" s="5">
        <v>5.25</v>
      </c>
    </row>
    <row r="351" spans="5:14" x14ac:dyDescent="0.3">
      <c r="E351" s="2" t="s">
        <v>365</v>
      </c>
      <c r="F351" s="5">
        <v>19</v>
      </c>
      <c r="I351" s="2" t="s">
        <v>365</v>
      </c>
      <c r="J351" s="3">
        <v>28.684210526315791</v>
      </c>
      <c r="M351" s="2" t="s">
        <v>366</v>
      </c>
      <c r="N351" s="5">
        <v>7.25</v>
      </c>
    </row>
    <row r="352" spans="5:14" x14ac:dyDescent="0.3">
      <c r="E352" s="2" t="s">
        <v>366</v>
      </c>
      <c r="F352" s="5">
        <v>10</v>
      </c>
      <c r="I352" s="2" t="s">
        <v>366</v>
      </c>
      <c r="J352" s="3">
        <v>25</v>
      </c>
      <c r="M352" s="2" t="s">
        <v>367</v>
      </c>
      <c r="N352" s="5">
        <v>6</v>
      </c>
    </row>
    <row r="353" spans="5:14" x14ac:dyDescent="0.3">
      <c r="E353" s="2" t="s">
        <v>367</v>
      </c>
      <c r="F353" s="5">
        <v>13</v>
      </c>
      <c r="I353" s="2" t="s">
        <v>367</v>
      </c>
      <c r="J353" s="3">
        <v>35.46153846153846</v>
      </c>
      <c r="M353" s="2" t="s">
        <v>368</v>
      </c>
      <c r="N353" s="5">
        <v>4.5999999999999996</v>
      </c>
    </row>
    <row r="354" spans="5:14" x14ac:dyDescent="0.3">
      <c r="E354" s="2" t="s">
        <v>368</v>
      </c>
      <c r="F354" s="5">
        <v>27</v>
      </c>
      <c r="I354" s="2" t="s">
        <v>368</v>
      </c>
      <c r="J354" s="3">
        <v>33.814814814814817</v>
      </c>
      <c r="M354" s="2" t="s">
        <v>369</v>
      </c>
      <c r="N354" s="5">
        <v>8</v>
      </c>
    </row>
    <row r="355" spans="5:14" x14ac:dyDescent="0.3">
      <c r="E355" s="2" t="s">
        <v>369</v>
      </c>
      <c r="F355" s="5">
        <v>19</v>
      </c>
      <c r="I355" s="2" t="s">
        <v>369</v>
      </c>
      <c r="J355" s="3">
        <v>33.631578947368418</v>
      </c>
      <c r="M355" s="2" t="s">
        <v>370</v>
      </c>
      <c r="N355" s="5">
        <v>3.6666666666666665</v>
      </c>
    </row>
    <row r="356" spans="5:14" x14ac:dyDescent="0.3">
      <c r="E356" s="2" t="s">
        <v>370</v>
      </c>
      <c r="F356" s="5">
        <v>18</v>
      </c>
      <c r="I356" s="2" t="s">
        <v>370</v>
      </c>
      <c r="J356" s="3">
        <v>36.611111111111114</v>
      </c>
      <c r="M356" s="2" t="s">
        <v>371</v>
      </c>
      <c r="N356" s="5">
        <v>2.4285714285714284</v>
      </c>
    </row>
    <row r="357" spans="5:14" x14ac:dyDescent="0.3">
      <c r="E357" s="2" t="s">
        <v>371</v>
      </c>
      <c r="F357" s="5">
        <v>12</v>
      </c>
      <c r="I357" s="2" t="s">
        <v>371</v>
      </c>
      <c r="J357" s="3">
        <v>30.5</v>
      </c>
      <c r="M357" s="2" t="s">
        <v>372</v>
      </c>
      <c r="N357" s="5">
        <v>9</v>
      </c>
    </row>
    <row r="358" spans="5:14" x14ac:dyDescent="0.3">
      <c r="E358" s="2" t="s">
        <v>372</v>
      </c>
      <c r="F358" s="5">
        <v>20</v>
      </c>
      <c r="I358" s="2" t="s">
        <v>372</v>
      </c>
      <c r="J358" s="3">
        <v>33.6</v>
      </c>
      <c r="M358" s="2" t="s">
        <v>373</v>
      </c>
      <c r="N358" s="5">
        <v>6</v>
      </c>
    </row>
    <row r="359" spans="5:14" x14ac:dyDescent="0.3">
      <c r="E359" s="2" t="s">
        <v>373</v>
      </c>
      <c r="F359" s="5">
        <v>12</v>
      </c>
      <c r="I359" s="2" t="s">
        <v>373</v>
      </c>
      <c r="J359" s="3">
        <v>26.75</v>
      </c>
      <c r="M359" s="2" t="s">
        <v>374</v>
      </c>
      <c r="N359" s="5">
        <v>4</v>
      </c>
    </row>
    <row r="360" spans="5:14" x14ac:dyDescent="0.3">
      <c r="E360" s="2" t="s">
        <v>374</v>
      </c>
      <c r="F360" s="5">
        <v>19</v>
      </c>
      <c r="I360" s="2" t="s">
        <v>374</v>
      </c>
      <c r="J360" s="3">
        <v>37.684210526315788</v>
      </c>
      <c r="M360" s="2" t="s">
        <v>375</v>
      </c>
      <c r="N360" s="5">
        <v>4.833333333333333</v>
      </c>
    </row>
    <row r="361" spans="5:14" x14ac:dyDescent="0.3">
      <c r="E361" s="2" t="s">
        <v>375</v>
      </c>
      <c r="F361" s="5">
        <v>18</v>
      </c>
      <c r="I361" s="2" t="s">
        <v>375</v>
      </c>
      <c r="J361" s="3">
        <v>36.611111111111114</v>
      </c>
      <c r="M361" s="2" t="s">
        <v>376</v>
      </c>
      <c r="N361" s="5">
        <v>3.6</v>
      </c>
    </row>
    <row r="362" spans="5:14" x14ac:dyDescent="0.3">
      <c r="E362" s="2" t="s">
        <v>376</v>
      </c>
      <c r="F362" s="5">
        <v>21</v>
      </c>
      <c r="I362" s="2" t="s">
        <v>376</v>
      </c>
      <c r="J362" s="3">
        <v>35.428571428571431</v>
      </c>
      <c r="M362" s="2" t="s">
        <v>377</v>
      </c>
      <c r="N362" s="5">
        <v>5</v>
      </c>
    </row>
    <row r="363" spans="5:14" x14ac:dyDescent="0.3">
      <c r="E363" s="2" t="s">
        <v>377</v>
      </c>
      <c r="F363" s="5">
        <v>18</v>
      </c>
      <c r="I363" s="2" t="s">
        <v>377</v>
      </c>
      <c r="J363" s="3">
        <v>31.944444444444443</v>
      </c>
      <c r="M363" s="2" t="s">
        <v>378</v>
      </c>
      <c r="N363" s="5">
        <v>5.25</v>
      </c>
    </row>
    <row r="364" spans="5:14" x14ac:dyDescent="0.3">
      <c r="E364" s="2" t="s">
        <v>378</v>
      </c>
      <c r="F364" s="5">
        <v>16</v>
      </c>
      <c r="I364" s="2" t="s">
        <v>378</v>
      </c>
      <c r="J364" s="3">
        <v>31.875</v>
      </c>
      <c r="M364" s="2" t="s">
        <v>379</v>
      </c>
      <c r="N364" s="5">
        <v>3.2</v>
      </c>
    </row>
    <row r="365" spans="5:14" x14ac:dyDescent="0.3">
      <c r="E365" s="2" t="s">
        <v>379</v>
      </c>
      <c r="F365" s="5">
        <v>14</v>
      </c>
      <c r="I365" s="2" t="s">
        <v>379</v>
      </c>
      <c r="J365" s="3">
        <v>28.642857142857142</v>
      </c>
      <c r="M365" s="2" t="s">
        <v>380</v>
      </c>
      <c r="N365" s="5">
        <v>5.5</v>
      </c>
    </row>
    <row r="366" spans="5:14" x14ac:dyDescent="0.3">
      <c r="E366" s="2" t="s">
        <v>380</v>
      </c>
      <c r="F366" s="5">
        <v>14</v>
      </c>
      <c r="I366" s="2" t="s">
        <v>380</v>
      </c>
      <c r="J366" s="3">
        <v>39.214285714285715</v>
      </c>
      <c r="M366" s="2" t="s">
        <v>381</v>
      </c>
      <c r="N366" s="5">
        <v>3</v>
      </c>
    </row>
    <row r="367" spans="5:14" x14ac:dyDescent="0.3">
      <c r="E367" s="2" t="s">
        <v>381</v>
      </c>
      <c r="F367" s="5">
        <v>16</v>
      </c>
      <c r="I367" s="2" t="s">
        <v>381</v>
      </c>
      <c r="J367" s="3">
        <v>32.0625</v>
      </c>
      <c r="M367" s="2" t="s">
        <v>382</v>
      </c>
      <c r="N367" s="5">
        <v>3.9090909090909092</v>
      </c>
    </row>
    <row r="368" spans="5:14" x14ac:dyDescent="0.3">
      <c r="E368" s="2" t="s">
        <v>382</v>
      </c>
      <c r="F368" s="5">
        <v>21</v>
      </c>
      <c r="I368" s="2" t="s">
        <v>382</v>
      </c>
      <c r="J368" s="3">
        <v>28.285714285714285</v>
      </c>
      <c r="M368" s="2" t="s">
        <v>383</v>
      </c>
      <c r="N368" s="5">
        <v>2.6666666666666665</v>
      </c>
    </row>
    <row r="369" spans="5:14" x14ac:dyDescent="0.3">
      <c r="E369" s="2" t="s">
        <v>383</v>
      </c>
      <c r="F369" s="5">
        <v>21</v>
      </c>
      <c r="I369" s="2" t="s">
        <v>383</v>
      </c>
      <c r="J369" s="3">
        <v>35.476190476190474</v>
      </c>
      <c r="M369" s="2" t="s">
        <v>9</v>
      </c>
      <c r="N369" s="5">
        <v>4.9920540325784666</v>
      </c>
    </row>
    <row r="370" spans="5:14" x14ac:dyDescent="0.3">
      <c r="E370" s="2" t="s">
        <v>384</v>
      </c>
      <c r="F370" s="5">
        <v>15</v>
      </c>
      <c r="I370" s="2" t="s">
        <v>384</v>
      </c>
      <c r="J370" s="3">
        <v>39.799999999999997</v>
      </c>
    </row>
    <row r="371" spans="5:14" x14ac:dyDescent="0.3">
      <c r="E371" s="2" t="s">
        <v>9</v>
      </c>
      <c r="F371" s="5">
        <v>9216</v>
      </c>
      <c r="I371" s="2" t="s">
        <v>9</v>
      </c>
      <c r="J371" s="3">
        <v>35.259874131944443</v>
      </c>
    </row>
  </sheetData>
  <mergeCells count="2">
    <mergeCell ref="A53:B53"/>
    <mergeCell ref="A74:B74"/>
  </mergeCells>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50D1A-38CA-4D57-9162-2A731075CD8B}">
  <dimension ref="A1"/>
  <sheetViews>
    <sheetView tabSelected="1" zoomScaleNormal="100" workbookViewId="0"/>
  </sheetViews>
  <sheetFormatPr defaultRowHeight="14.4" x14ac:dyDescent="0.3"/>
  <cols>
    <col min="1" max="16384" width="8.88671875" style="4"/>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32048-6DC2-4FFD-B277-FF86936EAC32}">
  <dimension ref="A1"/>
  <sheetViews>
    <sheetView workbookViewId="0"/>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B69A1-9151-4EF8-9C13-7BD98AA4D241}">
  <dimension ref="A1"/>
  <sheetViews>
    <sheetView workbookViewId="0"/>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129BC-1128-4A95-B858-87E81E60C5EE}">
  <dimension ref="A1"/>
  <sheetViews>
    <sheetView workbookViewId="0">
      <selection activeCell="S5" sqref="S5"/>
    </sheetView>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A6684164-AD46-4684-AA32-78F5A04DADDE}">
  <ds:schemaRefs/>
</ds:datastoreItem>
</file>

<file path=customXml/itemProps2.xml><?xml version="1.0" encoding="utf-8"?>
<ds:datastoreItem xmlns:ds="http://schemas.openxmlformats.org/officeDocument/2006/customXml" ds:itemID="{25E4D915-44B1-4604-98B7-79829712B328}">
  <ds:schemaRefs/>
</ds:datastoreItem>
</file>

<file path=customXml/itemProps3.xml><?xml version="1.0" encoding="utf-8"?>
<ds:datastoreItem xmlns:ds="http://schemas.openxmlformats.org/officeDocument/2006/customXml" ds:itemID="{8E734211-43EC-4ED3-B464-4EE04E1C21DB}">
  <ds:schemaRefs/>
</ds:datastoreItem>
</file>

<file path=customXml/itemProps4.xml><?xml version="1.0" encoding="utf-8"?>
<ds:datastoreItem xmlns:ds="http://schemas.openxmlformats.org/officeDocument/2006/customXml" ds:itemID="{22F3703D-A097-40FF-B04B-61B70D859B8E}">
  <ds:schemaRefs/>
</ds:datastoreItem>
</file>

<file path=customXml/itemProps5.xml><?xml version="1.0" encoding="utf-8"?>
<ds:datastoreItem xmlns:ds="http://schemas.openxmlformats.org/officeDocument/2006/customXml" ds:itemID="{A4A2A4C4-1026-45E3-9D36-27B66B39C4CD}">
  <ds:schemaRefs>
    <ds:schemaRef ds:uri="http://schemas.microsoft.com/DataMashup"/>
  </ds:schemaRefs>
</ds:datastoreItem>
</file>

<file path=customXml/itemProps6.xml><?xml version="1.0" encoding="utf-8"?>
<ds:datastoreItem xmlns:ds="http://schemas.openxmlformats.org/officeDocument/2006/customXml" ds:itemID="{419B47FB-3A2D-4009-B365-BA7A6CAB065A}">
  <ds:schemaRefs/>
</ds:datastoreItem>
</file>

<file path=customXml/itemProps7.xml><?xml version="1.0" encoding="utf-8"?>
<ds:datastoreItem xmlns:ds="http://schemas.openxmlformats.org/officeDocument/2006/customXml" ds:itemID="{25FF1AF8-FEC5-4F6B-9939-8542256D17FB}">
  <ds:schemaRefs/>
</ds:datastoreItem>
</file>

<file path=customXml/itemProps8.xml><?xml version="1.0" encoding="utf-8"?>
<ds:datastoreItem xmlns:ds="http://schemas.openxmlformats.org/officeDocument/2006/customXml" ds:itemID="{880AD7CC-56C8-427D-9E85-99464B456513}">
  <ds:schemaRefs/>
</ds:datastoreItem>
</file>

<file path=customXml/itemProps9.xml><?xml version="1.0" encoding="utf-8"?>
<ds:datastoreItem xmlns:ds="http://schemas.openxmlformats.org/officeDocument/2006/customXml" ds:itemID="{79E9C7A3-136E-446D-A6F8-C6A4D203DB80}">
  <ds:schemaRefs/>
</ds:datastoreItem>
</file>

<file path=customXml/itemProps10.xml><?xml version="1.0" encoding="utf-8"?>
<ds:datastoreItem xmlns:ds="http://schemas.openxmlformats.org/officeDocument/2006/customXml" ds:itemID="{43EDDC4A-A3EF-4657-802A-CD1F5B9C8642}">
  <ds:schemaRefs/>
</ds:datastoreItem>
</file>

<file path=customXml/itemProps11.xml><?xml version="1.0" encoding="utf-8"?>
<ds:datastoreItem xmlns:ds="http://schemas.openxmlformats.org/officeDocument/2006/customXml" ds:itemID="{CE18F73F-58FF-4144-B3E1-F596275C4FFE}">
  <ds:schemaRefs/>
</ds:datastoreItem>
</file>

<file path=customXml/itemProps12.xml><?xml version="1.0" encoding="utf-8"?>
<ds:datastoreItem xmlns:ds="http://schemas.openxmlformats.org/officeDocument/2006/customXml" ds:itemID="{37BF5F5D-3CDF-40A3-9457-5C40F539233A}">
  <ds:schemaRefs/>
</ds:datastoreItem>
</file>

<file path=customXml/itemProps13.xml><?xml version="1.0" encoding="utf-8"?>
<ds:datastoreItem xmlns:ds="http://schemas.openxmlformats.org/officeDocument/2006/customXml" ds:itemID="{185CFA14-4E05-4CBE-810E-AA10AD607E9E}">
  <ds:schemaRefs/>
</ds:datastoreItem>
</file>

<file path=customXml/itemProps14.xml><?xml version="1.0" encoding="utf-8"?>
<ds:datastoreItem xmlns:ds="http://schemas.openxmlformats.org/officeDocument/2006/customXml" ds:itemID="{64E8834E-1630-4322-8647-A616847C3916}">
  <ds:schemaRefs/>
</ds:datastoreItem>
</file>

<file path=customXml/itemProps15.xml><?xml version="1.0" encoding="utf-8"?>
<ds:datastoreItem xmlns:ds="http://schemas.openxmlformats.org/officeDocument/2006/customXml" ds:itemID="{F08645FD-734C-4891-8C00-C0BCD84DC647}">
  <ds:schemaRefs/>
</ds:datastoreItem>
</file>

<file path=customXml/itemProps16.xml><?xml version="1.0" encoding="utf-8"?>
<ds:datastoreItem xmlns:ds="http://schemas.openxmlformats.org/officeDocument/2006/customXml" ds:itemID="{BE5DE330-45F8-4520-A36D-2EBCBFDCC998}">
  <ds:schemaRefs/>
</ds:datastoreItem>
</file>

<file path=customXml/itemProps17.xml><?xml version="1.0" encoding="utf-8"?>
<ds:datastoreItem xmlns:ds="http://schemas.openxmlformats.org/officeDocument/2006/customXml" ds:itemID="{02ED3C50-1172-4DC2-9A08-AB351554F939}">
  <ds:schemaRefs/>
</ds:datastoreItem>
</file>

<file path=customXml/itemProps18.xml><?xml version="1.0" encoding="utf-8"?>
<ds:datastoreItem xmlns:ds="http://schemas.openxmlformats.org/officeDocument/2006/customXml" ds:itemID="{C088C16F-7D49-49F5-B69A-30B30A0D272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Avg. Satisfaction score</vt:lpstr>
      <vt:lpstr>Avg. Wait Time</vt:lpstr>
      <vt:lpstr>Daily Patient Visits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Utkarsh Pratap</dc:creator>
  <cp:lastModifiedBy>Utkarsh Pratap</cp:lastModifiedBy>
  <dcterms:created xsi:type="dcterms:W3CDTF">2026-07-26T04:40:29Z</dcterms:created>
  <dcterms:modified xsi:type="dcterms:W3CDTF">2026-07-29T11:54:07Z</dcterms:modified>
</cp:coreProperties>
</file>